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<sst xmlns="http://schemas.openxmlformats.org/spreadsheetml/2006/main" count="56" uniqueCount="37">
  <si>
    <t>Target 1</t>
  </si>
  <si>
    <t>heap_4.o</t>
  </si>
  <si>
    <t>usart0.o</t>
  </si>
  <si>
    <t>startup_gd32f407_427.o</t>
  </si>
  <si>
    <t>tasks.o</t>
  </si>
  <si>
    <t>queue.o</t>
  </si>
  <si>
    <t>timers.o</t>
  </si>
  <si>
    <t>port.o</t>
  </si>
  <si>
    <t>mc_w.l</t>
  </si>
  <si>
    <t>stdout.o</t>
  </si>
  <si>
    <t>system_gd32f4xx.o</t>
  </si>
  <si>
    <t>printf3.o</t>
  </si>
  <si>
    <t>list.o</t>
  </si>
  <si>
    <t>gd32f4xx_dma.o</t>
  </si>
  <si>
    <t>gd32f4xx_usart.o</t>
  </si>
  <si>
    <t>init.o</t>
  </si>
  <si>
    <t>uidiv.o</t>
  </si>
  <si>
    <t>main.o</t>
  </si>
  <si>
    <t>memseta.o</t>
  </si>
  <si>
    <t>memcpya.o</t>
  </si>
  <si>
    <t>handlers.o</t>
  </si>
  <si>
    <t>gd32f4xx_misc.o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</si>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</sst>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ram_percent!$A$3:$A$29</c:f>
              <c:strCache>
                <c:ptCount val="27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port.o</c:v>
                </c:pt>
                <c:pt idx="7">
                  <c:v>mc_w.l</c:v>
                </c:pt>
                <c:pt idx="8">
                  <c:v>stdout.o</c:v>
                </c:pt>
                <c:pt idx="9">
                  <c:v>system_gd32f4xx.o</c:v>
                </c:pt>
                <c:pt idx="26">
                  <c:v>Totals</c:v>
                </c:pt>
              </c:strCache>
            </c:strRef>
          </c:cat>
          <c:val>
            <c:numRef>
              <c:f>ram_percent!$B$3:$B$29</c:f>
              <c:numCache>
                <c:formatCode>General</c:formatCode>
                <c:ptCount val="27"/>
                <c:pt idx="0">
                  <c:v>96.24553680419922</c:v>
                </c:pt>
                <c:pt idx="1">
                  <c:v>1.287817120552063</c:v>
                </c:pt>
                <c:pt idx="2">
                  <c:v>1.282806158065796</c:v>
                </c:pt>
                <c:pt idx="3">
                  <c:v>1.002192258834839</c:v>
                </c:pt>
                <c:pt idx="4">
                  <c:v>0.08017538487911224</c:v>
                </c:pt>
                <c:pt idx="5">
                  <c:v>0.07516442239284515</c:v>
                </c:pt>
                <c:pt idx="6">
                  <c:v>0.0112746637314558</c:v>
                </c:pt>
                <c:pt idx="7">
                  <c:v>0.005010961554944515</c:v>
                </c:pt>
                <c:pt idx="8">
                  <c:v>0.005010961554944515</c:v>
                </c:pt>
                <c:pt idx="9">
                  <c:v>0.005010961554944515</c:v>
                </c:pt>
                <c:pt idx="2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flash_percent!$A$3:$A$29</c:f>
              <c:strCache>
                <c:ptCount val="27"/>
                <c:pt idx="0">
                  <c:v>tasks.o</c:v>
                </c:pt>
                <c:pt idx="1">
                  <c:v>timers.o</c:v>
                </c:pt>
                <c:pt idx="2">
                  <c:v>queue.o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printf3.o</c:v>
                </c:pt>
                <c:pt idx="7">
                  <c:v>startup_gd32f407_427.o</c:v>
                </c:pt>
                <c:pt idx="8">
                  <c:v>system_gd32f4xx.o</c:v>
                </c:pt>
                <c:pt idx="9">
                  <c:v>usart0.o</c:v>
                </c:pt>
                <c:pt idx="10">
                  <c:v>list.o</c:v>
                </c:pt>
                <c:pt idx="11">
                  <c:v>gd32f4xx_dma.o</c:v>
                </c:pt>
                <c:pt idx="12">
                  <c:v>gd32f4xx_usart.o</c:v>
                </c:pt>
                <c:pt idx="13">
                  <c:v>init.o</c:v>
                </c:pt>
                <c:pt idx="14">
                  <c:v>uidiv.o</c:v>
                </c:pt>
                <c:pt idx="15">
                  <c:v>main.o</c:v>
                </c:pt>
                <c:pt idx="16">
                  <c:v>memseta.o</c:v>
                </c:pt>
                <c:pt idx="17">
                  <c:v>memcpya.o</c:v>
                </c:pt>
                <c:pt idx="18">
                  <c:v>handlers.o</c:v>
                </c:pt>
                <c:pt idx="19">
                  <c:v>gd32f4xx_misc.o</c:v>
                </c:pt>
                <c:pt idx="20">
                  <c:v>gd32f4xx_it.o</c:v>
                </c:pt>
                <c:pt idx="21">
                  <c:v>entry9a.o</c:v>
                </c:pt>
                <c:pt idx="22">
                  <c:v>entry2.o</c:v>
                </c:pt>
                <c:pt idx="23">
                  <c:v>stdout.o</c:v>
                </c:pt>
                <c:pt idx="24">
                  <c:v>entry5.o</c:v>
                </c:pt>
                <c:pt idx="25">
                  <c:v>exti.o</c:v>
                </c:pt>
                <c:pt idx="26">
                  <c:v>Totals</c:v>
                </c:pt>
              </c:strCache>
            </c:strRef>
          </c:cat>
          <c:val>
            <c:numRef>
              <c:f>flash_percent!$B$3:$B$29</c:f>
              <c:numCache>
                <c:formatCode>General</c:formatCode>
                <c:ptCount val="27"/>
                <c:pt idx="0">
                  <c:v>30.85918807983398</c:v>
                </c:pt>
                <c:pt idx="1">
                  <c:v>10.76372337341309</c:v>
                </c:pt>
                <c:pt idx="2">
                  <c:v>10.09546566009522</c:v>
                </c:pt>
                <c:pt idx="3">
                  <c:v>9.618138313293457</c:v>
                </c:pt>
                <c:pt idx="4">
                  <c:v>8.233890533447266</c:v>
                </c:pt>
                <c:pt idx="5">
                  <c:v>6.921241283416748</c:v>
                </c:pt>
                <c:pt idx="6">
                  <c:v>5.632458209991455</c:v>
                </c:pt>
                <c:pt idx="7">
                  <c:v>5.107398509979248</c:v>
                </c:pt>
                <c:pt idx="8">
                  <c:v>4.128878116607666</c:v>
                </c:pt>
                <c:pt idx="9">
                  <c:v>1.718377113342285</c:v>
                </c:pt>
                <c:pt idx="10">
                  <c:v>1.455847263336182</c:v>
                </c:pt>
                <c:pt idx="11">
                  <c:v>1.217183828353882</c:v>
                </c:pt>
                <c:pt idx="12">
                  <c:v>0.7875894904136658</c:v>
                </c:pt>
                <c:pt idx="13">
                  <c:v>0.5727923512458801</c:v>
                </c:pt>
                <c:pt idx="14">
                  <c:v>0.5250596404075623</c:v>
                </c:pt>
                <c:pt idx="15">
                  <c:v>0.4534606337547302</c:v>
                </c:pt>
                <c:pt idx="16">
                  <c:v>0.4295942783355713</c:v>
                </c:pt>
                <c:pt idx="17">
                  <c:v>0.4295942783355713</c:v>
                </c:pt>
                <c:pt idx="18">
                  <c:v>0.3579952120780945</c:v>
                </c:pt>
                <c:pt idx="19">
                  <c:v>0.2386634796857834</c:v>
                </c:pt>
                <c:pt idx="20">
                  <c:v>0.14319808781147</c:v>
                </c:pt>
                <c:pt idx="21">
                  <c:v>0.09546539187431335</c:v>
                </c:pt>
                <c:pt idx="22">
                  <c:v>0.09546539187431335</c:v>
                </c:pt>
                <c:pt idx="23">
                  <c:v>0.04773269593715668</c:v>
                </c:pt>
                <c:pt idx="24">
                  <c:v>0.04773269593715668</c:v>
                </c:pt>
                <c:pt idx="25">
                  <c:v>0.02386634796857834</c:v>
                </c:pt>
                <c:pt idx="2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29" totalsRowCount="1">
  <autoFilter ref="A2:H2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29" totalsRowCount="1">
  <autoFilter ref="A2:H2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</row>
    <row r="3" spans="1:8">
      <c r="A3" s="1" t="s">
        <v>1</v>
      </c>
      <c r="B3" s="2">
        <v>96.24553680419922</v>
      </c>
      <c r="C3" s="1">
        <v>76828</v>
      </c>
      <c r="D3" s="1">
        <v>580</v>
      </c>
      <c r="E3" s="1">
        <v>580</v>
      </c>
      <c r="F3" s="1">
        <v>0</v>
      </c>
      <c r="G3" s="1">
        <v>0</v>
      </c>
      <c r="H3" s="1">
        <v>76828</v>
      </c>
    </row>
    <row r="4" spans="1:8">
      <c r="A4" s="1" t="s">
        <v>2</v>
      </c>
      <c r="B4" s="2">
        <v>1.287817120552063</v>
      </c>
      <c r="C4" s="1">
        <v>1028</v>
      </c>
      <c r="D4" s="1">
        <v>144</v>
      </c>
      <c r="E4" s="1">
        <v>144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1.282806158065796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1.002192258834839</v>
      </c>
      <c r="C6" s="1">
        <v>800</v>
      </c>
      <c r="D6" s="1">
        <v>2586</v>
      </c>
      <c r="E6" s="1">
        <v>2582</v>
      </c>
      <c r="F6" s="1">
        <v>4</v>
      </c>
      <c r="G6" s="1">
        <v>0</v>
      </c>
      <c r="H6" s="1">
        <v>800</v>
      </c>
    </row>
    <row r="7" spans="1:8">
      <c r="A7" s="1" t="s">
        <v>5</v>
      </c>
      <c r="B7" s="2">
        <v>0.08017538487911224</v>
      </c>
      <c r="C7" s="1">
        <v>64</v>
      </c>
      <c r="D7" s="1">
        <v>846</v>
      </c>
      <c r="E7" s="1">
        <v>846</v>
      </c>
      <c r="F7" s="1">
        <v>0</v>
      </c>
      <c r="G7" s="1">
        <v>0</v>
      </c>
      <c r="H7" s="1">
        <v>64</v>
      </c>
    </row>
    <row r="8" spans="1:8">
      <c r="A8" s="1" t="s">
        <v>6</v>
      </c>
      <c r="B8" s="2">
        <v>0.07516442239284515</v>
      </c>
      <c r="C8" s="1">
        <v>60</v>
      </c>
      <c r="D8" s="1">
        <v>902</v>
      </c>
      <c r="E8" s="1">
        <v>902</v>
      </c>
      <c r="F8" s="1">
        <v>0</v>
      </c>
      <c r="G8" s="1">
        <v>0</v>
      </c>
      <c r="H8" s="1">
        <v>60</v>
      </c>
    </row>
    <row r="9" spans="1:8">
      <c r="A9" s="1" t="s">
        <v>7</v>
      </c>
      <c r="B9" s="2">
        <v>0.0112746637314558</v>
      </c>
      <c r="C9" s="1">
        <v>9</v>
      </c>
      <c r="D9" s="1">
        <v>806</v>
      </c>
      <c r="E9" s="1">
        <v>802</v>
      </c>
      <c r="F9" s="1">
        <v>0</v>
      </c>
      <c r="G9" s="1">
        <v>4</v>
      </c>
      <c r="H9" s="1">
        <v>5</v>
      </c>
    </row>
    <row r="10" spans="1:8">
      <c r="A10" s="1" t="s">
        <v>8</v>
      </c>
      <c r="B10" s="2">
        <v>0.005010961554944515</v>
      </c>
      <c r="C10" s="1">
        <v>4</v>
      </c>
      <c r="D10" s="1">
        <v>690</v>
      </c>
      <c r="E10" s="1">
        <v>686</v>
      </c>
      <c r="F10" s="1">
        <v>0</v>
      </c>
      <c r="G10" s="1">
        <v>4</v>
      </c>
      <c r="H10" s="1">
        <v>0</v>
      </c>
    </row>
    <row r="11" spans="1:8">
      <c r="A11" s="1" t="s">
        <v>9</v>
      </c>
      <c r="B11" s="2">
        <v>0.005010961554944515</v>
      </c>
      <c r="C11" s="1">
        <v>4</v>
      </c>
      <c r="D11" s="1">
        <v>4</v>
      </c>
      <c r="E11" s="1">
        <v>0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0.005010961554944515</v>
      </c>
      <c r="C12" s="1">
        <v>4</v>
      </c>
      <c r="D12" s="1">
        <v>346</v>
      </c>
      <c r="E12" s="1">
        <v>342</v>
      </c>
      <c r="F12" s="1">
        <v>0</v>
      </c>
      <c r="G12" s="1">
        <v>4</v>
      </c>
      <c r="H12" s="1">
        <v>0</v>
      </c>
    </row>
    <row r="29" spans="1:8">
      <c r="A29" t="s">
        <v>28</v>
      </c>
      <c r="B29">
        <f>SUBTOTAL(109,[ram_percent])</f>
        <v>0</v>
      </c>
      <c r="C29">
        <f>SUBTOTAL(109,[ram])</f>
        <v>0</v>
      </c>
      <c r="D29">
        <f>SUBTOTAL(109,[flash])</f>
        <v>0</v>
      </c>
      <c r="E29">
        <f>SUBTOTAL(109,[Code])</f>
        <v>0</v>
      </c>
      <c r="F29">
        <f>SUBTOTAL(109,[RO_data])</f>
        <v>0</v>
      </c>
      <c r="G29">
        <f>SUBTOTAL(109,[RW_data])</f>
        <v>0</v>
      </c>
      <c r="H2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27</v>
      </c>
      <c r="B2" t="s">
        <v>36</v>
      </c>
      <c r="C2" t="s">
        <v>31</v>
      </c>
      <c r="D2" t="s">
        <v>30</v>
      </c>
      <c r="E2" t="s">
        <v>32</v>
      </c>
      <c r="F2" t="s">
        <v>33</v>
      </c>
      <c r="G2" t="s">
        <v>34</v>
      </c>
      <c r="H2" t="s">
        <v>35</v>
      </c>
    </row>
    <row r="3" spans="1:8">
      <c r="A3" s="1" t="s">
        <v>4</v>
      </c>
      <c r="B3" s="2">
        <v>30.85918807983398</v>
      </c>
      <c r="C3" s="1">
        <v>2586</v>
      </c>
      <c r="D3" s="1">
        <v>800</v>
      </c>
      <c r="E3" s="1">
        <v>2582</v>
      </c>
      <c r="F3" s="1">
        <v>4</v>
      </c>
      <c r="G3" s="1">
        <v>0</v>
      </c>
      <c r="H3" s="1">
        <v>800</v>
      </c>
    </row>
    <row r="4" spans="1:8">
      <c r="A4" s="1" t="s">
        <v>6</v>
      </c>
      <c r="B4" s="2">
        <v>10.76372337341309</v>
      </c>
      <c r="C4" s="1">
        <v>902</v>
      </c>
      <c r="D4" s="1">
        <v>60</v>
      </c>
      <c r="E4" s="1">
        <v>902</v>
      </c>
      <c r="F4" s="1">
        <v>0</v>
      </c>
      <c r="G4" s="1">
        <v>0</v>
      </c>
      <c r="H4" s="1">
        <v>60</v>
      </c>
    </row>
    <row r="5" spans="1:8">
      <c r="A5" s="1" t="s">
        <v>5</v>
      </c>
      <c r="B5" s="2">
        <v>10.09546566009522</v>
      </c>
      <c r="C5" s="1">
        <v>846</v>
      </c>
      <c r="D5" s="1">
        <v>64</v>
      </c>
      <c r="E5" s="1">
        <v>846</v>
      </c>
      <c r="F5" s="1">
        <v>0</v>
      </c>
      <c r="G5" s="1">
        <v>0</v>
      </c>
      <c r="H5" s="1">
        <v>64</v>
      </c>
    </row>
    <row r="6" spans="1:8">
      <c r="A6" s="1" t="s">
        <v>7</v>
      </c>
      <c r="B6" s="2">
        <v>9.618138313293457</v>
      </c>
      <c r="C6" s="1">
        <v>806</v>
      </c>
      <c r="D6" s="1">
        <v>9</v>
      </c>
      <c r="E6" s="1">
        <v>802</v>
      </c>
      <c r="F6" s="1">
        <v>0</v>
      </c>
      <c r="G6" s="1">
        <v>4</v>
      </c>
      <c r="H6" s="1">
        <v>5</v>
      </c>
    </row>
    <row r="7" spans="1:8">
      <c r="A7" s="1" t="s">
        <v>8</v>
      </c>
      <c r="B7" s="2">
        <v>8.233890533447266</v>
      </c>
      <c r="C7" s="1">
        <v>690</v>
      </c>
      <c r="D7" s="1">
        <v>4</v>
      </c>
      <c r="E7" s="1">
        <v>686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6.921241283416748</v>
      </c>
      <c r="C8" s="1">
        <v>580</v>
      </c>
      <c r="D8" s="1">
        <v>76828</v>
      </c>
      <c r="E8" s="1">
        <v>580</v>
      </c>
      <c r="F8" s="1">
        <v>0</v>
      </c>
      <c r="G8" s="1">
        <v>0</v>
      </c>
      <c r="H8" s="1">
        <v>76828</v>
      </c>
    </row>
    <row r="9" spans="1:8">
      <c r="A9" s="1" t="s">
        <v>11</v>
      </c>
      <c r="B9" s="2">
        <v>5.632458209991455</v>
      </c>
      <c r="C9" s="1">
        <v>472</v>
      </c>
      <c r="D9" s="1">
        <v>0</v>
      </c>
      <c r="E9" s="1">
        <v>472</v>
      </c>
      <c r="F9" s="1">
        <v>0</v>
      </c>
      <c r="G9" s="1">
        <v>0</v>
      </c>
      <c r="H9" s="1">
        <v>0</v>
      </c>
    </row>
    <row r="10" spans="1:8">
      <c r="A10" s="1" t="s">
        <v>3</v>
      </c>
      <c r="B10" s="2">
        <v>5.107398509979248</v>
      </c>
      <c r="C10" s="1">
        <v>428</v>
      </c>
      <c r="D10" s="1">
        <v>1024</v>
      </c>
      <c r="E10" s="1">
        <v>36</v>
      </c>
      <c r="F10" s="1">
        <v>392</v>
      </c>
      <c r="G10" s="1">
        <v>0</v>
      </c>
      <c r="H10" s="1">
        <v>1024</v>
      </c>
    </row>
    <row r="11" spans="1:8">
      <c r="A11" s="1" t="s">
        <v>10</v>
      </c>
      <c r="B11" s="2">
        <v>4.128878116607666</v>
      </c>
      <c r="C11" s="1">
        <v>346</v>
      </c>
      <c r="D11" s="1">
        <v>4</v>
      </c>
      <c r="E11" s="1">
        <v>342</v>
      </c>
      <c r="F11" s="1">
        <v>0</v>
      </c>
      <c r="G11" s="1">
        <v>4</v>
      </c>
      <c r="H11" s="1">
        <v>0</v>
      </c>
    </row>
    <row r="12" spans="1:8">
      <c r="A12" s="1" t="s">
        <v>2</v>
      </c>
      <c r="B12" s="2">
        <v>1.718377113342285</v>
      </c>
      <c r="C12" s="1">
        <v>144</v>
      </c>
      <c r="D12" s="1">
        <v>1028</v>
      </c>
      <c r="E12" s="1">
        <v>144</v>
      </c>
      <c r="F12" s="1">
        <v>0</v>
      </c>
      <c r="G12" s="1">
        <v>0</v>
      </c>
      <c r="H12" s="1">
        <v>1028</v>
      </c>
    </row>
    <row r="13" spans="1:8">
      <c r="A13" s="1" t="s">
        <v>12</v>
      </c>
      <c r="B13" s="2">
        <v>1.455847263336182</v>
      </c>
      <c r="C13" s="1">
        <v>122</v>
      </c>
      <c r="D13" s="1">
        <v>0</v>
      </c>
      <c r="E13" s="1">
        <v>122</v>
      </c>
      <c r="F13" s="1">
        <v>0</v>
      </c>
      <c r="G13" s="1">
        <v>0</v>
      </c>
      <c r="H13" s="1">
        <v>0</v>
      </c>
    </row>
    <row r="14" spans="1:8">
      <c r="A14" s="1" t="s">
        <v>13</v>
      </c>
      <c r="B14" s="2">
        <v>1.217183828353882</v>
      </c>
      <c r="C14" s="1">
        <v>102</v>
      </c>
      <c r="D14" s="1">
        <v>0</v>
      </c>
      <c r="E14" s="1">
        <v>102</v>
      </c>
      <c r="F14" s="1">
        <v>0</v>
      </c>
      <c r="G14" s="1">
        <v>0</v>
      </c>
      <c r="H14" s="1">
        <v>0</v>
      </c>
    </row>
    <row r="15" spans="1:8">
      <c r="A15" s="1" t="s">
        <v>14</v>
      </c>
      <c r="B15" s="2">
        <v>0.7875894904136658</v>
      </c>
      <c r="C15" s="1">
        <v>66</v>
      </c>
      <c r="D15" s="1">
        <v>0</v>
      </c>
      <c r="E15" s="1">
        <v>66</v>
      </c>
      <c r="F15" s="1">
        <v>0</v>
      </c>
      <c r="G15" s="1">
        <v>0</v>
      </c>
      <c r="H15" s="1">
        <v>0</v>
      </c>
    </row>
    <row r="16" spans="1:8">
      <c r="A16" s="1" t="s">
        <v>15</v>
      </c>
      <c r="B16" s="2">
        <v>0.5727923512458801</v>
      </c>
      <c r="C16" s="1">
        <v>48</v>
      </c>
      <c r="D16" s="1">
        <v>0</v>
      </c>
      <c r="E16" s="1">
        <v>48</v>
      </c>
      <c r="F16" s="1">
        <v>0</v>
      </c>
      <c r="G16" s="1">
        <v>0</v>
      </c>
      <c r="H16" s="1">
        <v>0</v>
      </c>
    </row>
    <row r="17" spans="1:8">
      <c r="A17" s="1" t="s">
        <v>16</v>
      </c>
      <c r="B17" s="2">
        <v>0.5250596404075623</v>
      </c>
      <c r="C17" s="1">
        <v>44</v>
      </c>
      <c r="D17" s="1">
        <v>0</v>
      </c>
      <c r="E17" s="1">
        <v>44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0.4534606337547302</v>
      </c>
      <c r="C18" s="1">
        <v>38</v>
      </c>
      <c r="D18" s="1">
        <v>0</v>
      </c>
      <c r="E18" s="1">
        <v>38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0.4295942783355713</v>
      </c>
      <c r="C19" s="1">
        <v>36</v>
      </c>
      <c r="D19" s="1">
        <v>0</v>
      </c>
      <c r="E19" s="1">
        <v>36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0.4295942783355713</v>
      </c>
      <c r="C20" s="1">
        <v>36</v>
      </c>
      <c r="D20" s="1">
        <v>0</v>
      </c>
      <c r="E20" s="1">
        <v>36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0.3579952120780945</v>
      </c>
      <c r="C21" s="1">
        <v>30</v>
      </c>
      <c r="D21" s="1">
        <v>0</v>
      </c>
      <c r="E21" s="1">
        <v>30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0.2386634796857834</v>
      </c>
      <c r="C22" s="1">
        <v>20</v>
      </c>
      <c r="D22" s="1">
        <v>0</v>
      </c>
      <c r="E22" s="1">
        <v>20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0.14319808781147</v>
      </c>
      <c r="C23" s="1">
        <v>12</v>
      </c>
      <c r="D23" s="1">
        <v>0</v>
      </c>
      <c r="E23" s="1">
        <v>12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0.09546539187431335</v>
      </c>
      <c r="C24" s="1">
        <v>8</v>
      </c>
      <c r="D24" s="1">
        <v>0</v>
      </c>
      <c r="E24" s="1">
        <v>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0.09546539187431335</v>
      </c>
      <c r="C25" s="1">
        <v>8</v>
      </c>
      <c r="D25" s="1">
        <v>0</v>
      </c>
      <c r="E25" s="1">
        <v>8</v>
      </c>
      <c r="F25" s="1">
        <v>0</v>
      </c>
      <c r="G25" s="1">
        <v>0</v>
      </c>
      <c r="H25" s="1">
        <v>0</v>
      </c>
    </row>
    <row r="26" spans="1:8">
      <c r="A26" s="1" t="s">
        <v>9</v>
      </c>
      <c r="B26" s="2">
        <v>0.04773269593715668</v>
      </c>
      <c r="C26" s="1">
        <v>4</v>
      </c>
      <c r="D26" s="1">
        <v>4</v>
      </c>
      <c r="E26" s="1">
        <v>0</v>
      </c>
      <c r="F26" s="1">
        <v>0</v>
      </c>
      <c r="G26" s="1">
        <v>4</v>
      </c>
      <c r="H26" s="1">
        <v>0</v>
      </c>
    </row>
    <row r="27" spans="1:8">
      <c r="A27" s="1" t="s">
        <v>25</v>
      </c>
      <c r="B27" s="2">
        <v>0.04773269593715668</v>
      </c>
      <c r="C27" s="1">
        <v>4</v>
      </c>
      <c r="D27" s="1">
        <v>0</v>
      </c>
      <c r="E27" s="1">
        <v>4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0.02386634796857834</v>
      </c>
      <c r="C28" s="1">
        <v>2</v>
      </c>
      <c r="D28" s="1">
        <v>0</v>
      </c>
      <c r="E28" s="1">
        <v>2</v>
      </c>
      <c r="F28" s="1">
        <v>0</v>
      </c>
      <c r="G28" s="1">
        <v>0</v>
      </c>
      <c r="H28" s="1">
        <v>0</v>
      </c>
    </row>
    <row r="29" spans="1:8">
      <c r="A29" t="s">
        <v>28</v>
      </c>
      <c r="B29">
        <f>SUBTOTAL(109,[flash_percent])</f>
        <v>0</v>
      </c>
      <c r="C29">
        <f>SUBTOTAL(109,[flash])</f>
        <v>0</v>
      </c>
      <c r="D29">
        <f>SUBTOTAL(109,[ram])</f>
        <v>0</v>
      </c>
      <c r="E29">
        <f>SUBTOTAL(109,[Code])</f>
        <v>0</v>
      </c>
      <c r="F29">
        <f>SUBTOTAL(109,[RO_data])</f>
        <v>0</v>
      </c>
      <c r="G29">
        <f>SUBTOTAL(109,[RW_data])</f>
        <v>0</v>
      </c>
      <c r="H2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2024-10-19T07:15:53Z</dcterms:created>
  <dcterms:modified xsi:type="dcterms:W3CDTF">2024-10-19T07:15:53Z</dcterms:modified>
</cp:coreProperties>
</file>