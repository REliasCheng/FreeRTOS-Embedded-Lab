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<sst xmlns="http://schemas.openxmlformats.org/spreadsheetml/2006/main" count="59" uniqueCount="39">
  <si>
    <t>Target 1</t>
  </si>
  <si>
    <t>heap_4.o</t>
  </si>
  <si>
    <t>main.o</t>
  </si>
  <si>
    <t>usart0.o</t>
  </si>
  <si>
    <t>startup_gd32f407_427.o</t>
  </si>
  <si>
    <t>tasks.o</t>
  </si>
  <si>
    <t>timers.o</t>
  </si>
  <si>
    <t>queue.o</t>
  </si>
  <si>
    <t>port.o</t>
  </si>
  <si>
    <t>mc_w.l</t>
  </si>
  <si>
    <t>stdout.o</t>
  </si>
  <si>
    <t>system_gd32f4xx.o</t>
  </si>
  <si>
    <t>gd32f4xx_usart.o</t>
  </si>
  <si>
    <t>printf3.o</t>
  </si>
  <si>
    <t>gd32f4xx_dma.o</t>
  </si>
  <si>
    <t>gd32f4xx_rcu.o</t>
  </si>
  <si>
    <t>gd32f4xx_gpio.o</t>
  </si>
  <si>
    <t>gd32f4xx_misc.o</t>
  </si>
  <si>
    <t>list.o</t>
  </si>
  <si>
    <t>init.o</t>
  </si>
  <si>
    <t>uidiv.o</t>
  </si>
  <si>
    <t>memseta.o</t>
  </si>
  <si>
    <t>memcpya.o</t>
  </si>
  <si>
    <t>handlers.o</t>
  </si>
  <si>
    <t>gd32f4xx_it.o</t>
  </si>
  <si>
    <t>entry9a.o</t>
  </si>
  <si>
    <t>entry2.o</t>
  </si>
  <si>
    <t>entry5.o</t>
  </si>
  <si>
    <t>exti.o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</si>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</sst>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ram_percent!$A$3:$A$31</c:f>
              <c:strCache>
                <c:ptCount val="29"/>
                <c:pt idx="0">
                  <c:v>heap_4.o</c:v>
                </c:pt>
                <c:pt idx="1">
                  <c:v>main.o</c:v>
                </c:pt>
                <c:pt idx="2">
                  <c:v>usart0.o</c:v>
                </c:pt>
                <c:pt idx="3">
                  <c:v>startup_gd32f407_427.o</c:v>
                </c:pt>
                <c:pt idx="4">
                  <c:v>tasks.o</c:v>
                </c:pt>
                <c:pt idx="5">
                  <c:v>timers.o</c:v>
                </c:pt>
                <c:pt idx="6">
                  <c:v>queue.o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28">
                  <c:v>Totals</c:v>
                </c:pt>
              </c:strCache>
            </c:strRef>
          </c:cat>
          <c:val>
            <c:numRef>
              <c:f>ram_percent!$B$3:$B$31</c:f>
              <c:numCache>
                <c:formatCode>General</c:formatCode>
                <c:ptCount val="29"/>
                <c:pt idx="0">
                  <c:v>92.49588012695313</c:v>
                </c:pt>
                <c:pt idx="1">
                  <c:v>3.655144929885864</c:v>
                </c:pt>
                <c:pt idx="2">
                  <c:v>1.237644672393799</c:v>
                </c:pt>
                <c:pt idx="3">
                  <c:v>1.232828855514526</c:v>
                </c:pt>
                <c:pt idx="4">
                  <c:v>0.9631475806236267</c:v>
                </c:pt>
                <c:pt idx="5">
                  <c:v>0.3130229711532593</c:v>
                </c:pt>
                <c:pt idx="6">
                  <c:v>0.0770518034696579</c:v>
                </c:pt>
                <c:pt idx="7">
                  <c:v>0.01083541009575129</c:v>
                </c:pt>
                <c:pt idx="8">
                  <c:v>0.004815737716853619</c:v>
                </c:pt>
                <c:pt idx="9">
                  <c:v>0.004815737716853619</c:v>
                </c:pt>
                <c:pt idx="10">
                  <c:v>0.004815737716853619</c:v>
                </c:pt>
                <c:pt idx="28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flash_percent!$A$3:$A$31</c:f>
              <c:strCache>
                <c:ptCount val="29"/>
                <c:pt idx="0">
                  <c:v>tasks.o</c:v>
                </c:pt>
                <c:pt idx="1">
                  <c:v>timers.o</c:v>
                </c:pt>
                <c:pt idx="2">
                  <c:v>queue.o</c:v>
                </c:pt>
                <c:pt idx="3">
                  <c:v>port.o</c:v>
                </c:pt>
                <c:pt idx="4">
                  <c:v>mc_w.l</c:v>
                </c:pt>
                <c:pt idx="5">
                  <c:v>gd32f4xx_usart.o</c:v>
                </c:pt>
                <c:pt idx="6">
                  <c:v>heap_4.o</c:v>
                </c:pt>
                <c:pt idx="7">
                  <c:v>main.o</c:v>
                </c:pt>
                <c:pt idx="8">
                  <c:v>usart0.o</c:v>
                </c:pt>
                <c:pt idx="9">
                  <c:v>printf3.o</c:v>
                </c:pt>
                <c:pt idx="10">
                  <c:v>startup_gd32f407_427.o</c:v>
                </c:pt>
                <c:pt idx="11">
                  <c:v>gd32f4xx_dma.o</c:v>
                </c:pt>
                <c:pt idx="12">
                  <c:v>system_gd32f4xx.o</c:v>
                </c:pt>
                <c:pt idx="13">
                  <c:v>gd32f4xx_rcu.o</c:v>
                </c:pt>
                <c:pt idx="14">
                  <c:v>gd32f4xx_gpio.o</c:v>
                </c:pt>
                <c:pt idx="15">
                  <c:v>gd32f4xx_misc.o</c:v>
                </c:pt>
                <c:pt idx="16">
                  <c:v>list.o</c:v>
                </c:pt>
                <c:pt idx="17">
                  <c:v>init.o</c:v>
                </c:pt>
                <c:pt idx="18">
                  <c:v>uidiv.o</c:v>
                </c:pt>
                <c:pt idx="19">
                  <c:v>memseta.o</c:v>
                </c:pt>
                <c:pt idx="20">
                  <c:v>memcpya.o</c:v>
                </c:pt>
                <c:pt idx="21">
                  <c:v>handlers.o</c:v>
                </c:pt>
                <c:pt idx="22">
                  <c:v>gd32f4xx_it.o</c:v>
                </c:pt>
                <c:pt idx="23">
                  <c:v>entry9a.o</c:v>
                </c:pt>
                <c:pt idx="24">
                  <c:v>entry2.o</c:v>
                </c:pt>
                <c:pt idx="25">
                  <c:v>stdout.o</c:v>
                </c:pt>
                <c:pt idx="26">
                  <c:v>entry5.o</c:v>
                </c:pt>
                <c:pt idx="27">
                  <c:v>exti.o</c:v>
                </c:pt>
                <c:pt idx="28">
                  <c:v>Totals</c:v>
                </c:pt>
              </c:strCache>
            </c:strRef>
          </c:cat>
          <c:val>
            <c:numRef>
              <c:f>flash_percent!$B$3:$B$31</c:f>
              <c:numCache>
                <c:formatCode>General</c:formatCode>
                <c:ptCount val="29"/>
                <c:pt idx="0">
                  <c:v>28.95474243164063</c:v>
                </c:pt>
                <c:pt idx="1">
                  <c:v>7.930712223052979</c:v>
                </c:pt>
                <c:pt idx="2">
                  <c:v>7.692960739135742</c:v>
                </c:pt>
                <c:pt idx="3">
                  <c:v>6.84384822845459</c:v>
                </c:pt>
                <c:pt idx="4">
                  <c:v>5.858877658843994</c:v>
                </c:pt>
                <c:pt idx="5">
                  <c:v>5.230534076690674</c:v>
                </c:pt>
                <c:pt idx="6">
                  <c:v>4.924853324890137</c:v>
                </c:pt>
                <c:pt idx="7">
                  <c:v>4.678610801696777</c:v>
                </c:pt>
                <c:pt idx="8">
                  <c:v>4.602190494537354</c:v>
                </c:pt>
                <c:pt idx="9">
                  <c:v>4.007812023162842</c:v>
                </c:pt>
                <c:pt idx="10">
                  <c:v>3.634202241897583</c:v>
                </c:pt>
                <c:pt idx="11">
                  <c:v>3.073787927627564</c:v>
                </c:pt>
                <c:pt idx="12">
                  <c:v>2.93792986869812</c:v>
                </c:pt>
                <c:pt idx="13">
                  <c:v>2.445444583892822</c:v>
                </c:pt>
                <c:pt idx="14">
                  <c:v>2.377515554428101</c:v>
                </c:pt>
                <c:pt idx="15">
                  <c:v>1.56236732006073</c:v>
                </c:pt>
                <c:pt idx="16">
                  <c:v>1.273669004440308</c:v>
                </c:pt>
                <c:pt idx="17">
                  <c:v>0.4075740873813629</c:v>
                </c:pt>
                <c:pt idx="18">
                  <c:v>0.3736095726490021</c:v>
                </c:pt>
                <c:pt idx="19">
                  <c:v>0.3056805729866028</c:v>
                </c:pt>
                <c:pt idx="20">
                  <c:v>0.3056805729866028</c:v>
                </c:pt>
                <c:pt idx="21">
                  <c:v>0.2547338008880615</c:v>
                </c:pt>
                <c:pt idx="22">
                  <c:v>0.1018935218453407</c:v>
                </c:pt>
                <c:pt idx="23">
                  <c:v>0.06792901456356049</c:v>
                </c:pt>
                <c:pt idx="24">
                  <c:v>0.06792901456356049</c:v>
                </c:pt>
                <c:pt idx="25">
                  <c:v>0.03396450728178024</c:v>
                </c:pt>
                <c:pt idx="26">
                  <c:v>0.03396450728178024</c:v>
                </c:pt>
                <c:pt idx="27">
                  <c:v>0.01698225364089012</c:v>
                </c:pt>
                <c:pt idx="28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1" totalsRowCount="1">
  <autoFilter ref="A2:H30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1" totalsRowCount="1">
  <autoFilter ref="A2:H30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29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</row>
    <row r="3" spans="1:8">
      <c r="A3" s="1" t="s">
        <v>1</v>
      </c>
      <c r="B3" s="2">
        <v>92.49588012695313</v>
      </c>
      <c r="C3" s="1">
        <v>76828</v>
      </c>
      <c r="D3" s="1">
        <v>580</v>
      </c>
      <c r="E3" s="1">
        <v>580</v>
      </c>
      <c r="F3" s="1">
        <v>0</v>
      </c>
      <c r="G3" s="1">
        <v>0</v>
      </c>
      <c r="H3" s="1">
        <v>76828</v>
      </c>
    </row>
    <row r="4" spans="1:8">
      <c r="A4" s="1" t="s">
        <v>2</v>
      </c>
      <c r="B4" s="2">
        <v>3.655144929885864</v>
      </c>
      <c r="C4" s="1">
        <v>3036</v>
      </c>
      <c r="D4" s="1">
        <v>551</v>
      </c>
      <c r="E4" s="1">
        <v>540</v>
      </c>
      <c r="F4" s="1">
        <v>11</v>
      </c>
      <c r="G4" s="1">
        <v>0</v>
      </c>
      <c r="H4" s="1">
        <v>3036</v>
      </c>
    </row>
    <row r="5" spans="1:8">
      <c r="A5" s="1" t="s">
        <v>3</v>
      </c>
      <c r="B5" s="2">
        <v>1.237644672393799</v>
      </c>
      <c r="C5" s="1">
        <v>1028</v>
      </c>
      <c r="D5" s="1">
        <v>542</v>
      </c>
      <c r="E5" s="1">
        <v>542</v>
      </c>
      <c r="F5" s="1">
        <v>0</v>
      </c>
      <c r="G5" s="1">
        <v>0</v>
      </c>
      <c r="H5" s="1">
        <v>1028</v>
      </c>
    </row>
    <row r="6" spans="1:8">
      <c r="A6" s="1" t="s">
        <v>4</v>
      </c>
      <c r="B6" s="2">
        <v>1.232828855514526</v>
      </c>
      <c r="C6" s="1">
        <v>1024</v>
      </c>
      <c r="D6" s="1">
        <v>428</v>
      </c>
      <c r="E6" s="1">
        <v>36</v>
      </c>
      <c r="F6" s="1">
        <v>392</v>
      </c>
      <c r="G6" s="1">
        <v>0</v>
      </c>
      <c r="H6" s="1">
        <v>1024</v>
      </c>
    </row>
    <row r="7" spans="1:8">
      <c r="A7" s="1" t="s">
        <v>5</v>
      </c>
      <c r="B7" s="2">
        <v>0.9631475806236267</v>
      </c>
      <c r="C7" s="1">
        <v>800</v>
      </c>
      <c r="D7" s="1">
        <v>3410</v>
      </c>
      <c r="E7" s="1">
        <v>3406</v>
      </c>
      <c r="F7" s="1">
        <v>4</v>
      </c>
      <c r="G7" s="1">
        <v>0</v>
      </c>
      <c r="H7" s="1">
        <v>800</v>
      </c>
    </row>
    <row r="8" spans="1:8">
      <c r="A8" s="1" t="s">
        <v>6</v>
      </c>
      <c r="B8" s="2">
        <v>0.3130229711532593</v>
      </c>
      <c r="C8" s="1">
        <v>260</v>
      </c>
      <c r="D8" s="1">
        <v>934</v>
      </c>
      <c r="E8" s="1">
        <v>934</v>
      </c>
      <c r="F8" s="1">
        <v>0</v>
      </c>
      <c r="G8" s="1">
        <v>0</v>
      </c>
      <c r="H8" s="1">
        <v>260</v>
      </c>
    </row>
    <row r="9" spans="1:8">
      <c r="A9" s="1" t="s">
        <v>7</v>
      </c>
      <c r="B9" s="2">
        <v>0.0770518034696579</v>
      </c>
      <c r="C9" s="1">
        <v>64</v>
      </c>
      <c r="D9" s="1">
        <v>906</v>
      </c>
      <c r="E9" s="1">
        <v>906</v>
      </c>
      <c r="F9" s="1">
        <v>0</v>
      </c>
      <c r="G9" s="1">
        <v>0</v>
      </c>
      <c r="H9" s="1">
        <v>64</v>
      </c>
    </row>
    <row r="10" spans="1:8">
      <c r="A10" s="1" t="s">
        <v>8</v>
      </c>
      <c r="B10" s="2">
        <v>0.01083541009575129</v>
      </c>
      <c r="C10" s="1">
        <v>9</v>
      </c>
      <c r="D10" s="1">
        <v>806</v>
      </c>
      <c r="E10" s="1">
        <v>802</v>
      </c>
      <c r="F10" s="1">
        <v>0</v>
      </c>
      <c r="G10" s="1">
        <v>4</v>
      </c>
      <c r="H10" s="1">
        <v>5</v>
      </c>
    </row>
    <row r="11" spans="1:8">
      <c r="A11" s="1" t="s">
        <v>9</v>
      </c>
      <c r="B11" s="2">
        <v>0.004815737716853619</v>
      </c>
      <c r="C11" s="1">
        <v>4</v>
      </c>
      <c r="D11" s="1">
        <v>690</v>
      </c>
      <c r="E11" s="1">
        <v>686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0.004815737716853619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0.004815737716853619</v>
      </c>
      <c r="C13" s="1">
        <v>4</v>
      </c>
      <c r="D13" s="1">
        <v>346</v>
      </c>
      <c r="E13" s="1">
        <v>342</v>
      </c>
      <c r="F13" s="1">
        <v>0</v>
      </c>
      <c r="G13" s="1">
        <v>4</v>
      </c>
      <c r="H13" s="1">
        <v>0</v>
      </c>
    </row>
    <row r="31" spans="1:8">
      <c r="A31" t="s">
        <v>30</v>
      </c>
      <c r="B31">
        <f>SUBTOTAL(109,[ram_percent])</f>
        <v>0</v>
      </c>
      <c r="C31">
        <f>SUBTOTAL(109,[ram])</f>
        <v>0</v>
      </c>
      <c r="D31">
        <f>SUBTOTAL(109,[flash])</f>
        <v>0</v>
      </c>
      <c r="E31">
        <f>SUBTOTAL(109,[Code])</f>
        <v>0</v>
      </c>
      <c r="F31">
        <f>SUBTOTAL(109,[RO_data])</f>
        <v>0</v>
      </c>
      <c r="G31">
        <f>SUBTOTAL(109,[RW_data])</f>
        <v>0</v>
      </c>
      <c r="H31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29</v>
      </c>
      <c r="B2" t="s">
        <v>38</v>
      </c>
      <c r="C2" t="s">
        <v>33</v>
      </c>
      <c r="D2" t="s">
        <v>32</v>
      </c>
      <c r="E2" t="s">
        <v>34</v>
      </c>
      <c r="F2" t="s">
        <v>35</v>
      </c>
      <c r="G2" t="s">
        <v>36</v>
      </c>
      <c r="H2" t="s">
        <v>37</v>
      </c>
    </row>
    <row r="3" spans="1:8">
      <c r="A3" s="1" t="s">
        <v>5</v>
      </c>
      <c r="B3" s="2">
        <v>28.95474243164063</v>
      </c>
      <c r="C3" s="1">
        <v>3410</v>
      </c>
      <c r="D3" s="1">
        <v>800</v>
      </c>
      <c r="E3" s="1">
        <v>3406</v>
      </c>
      <c r="F3" s="1">
        <v>4</v>
      </c>
      <c r="G3" s="1">
        <v>0</v>
      </c>
      <c r="H3" s="1">
        <v>800</v>
      </c>
    </row>
    <row r="4" spans="1:8">
      <c r="A4" s="1" t="s">
        <v>6</v>
      </c>
      <c r="B4" s="2">
        <v>7.930712223052979</v>
      </c>
      <c r="C4" s="1">
        <v>934</v>
      </c>
      <c r="D4" s="1">
        <v>260</v>
      </c>
      <c r="E4" s="1">
        <v>934</v>
      </c>
      <c r="F4" s="1">
        <v>0</v>
      </c>
      <c r="G4" s="1">
        <v>0</v>
      </c>
      <c r="H4" s="1">
        <v>260</v>
      </c>
    </row>
    <row r="5" spans="1:8">
      <c r="A5" s="1" t="s">
        <v>7</v>
      </c>
      <c r="B5" s="2">
        <v>7.692960739135742</v>
      </c>
      <c r="C5" s="1">
        <v>906</v>
      </c>
      <c r="D5" s="1">
        <v>64</v>
      </c>
      <c r="E5" s="1">
        <v>906</v>
      </c>
      <c r="F5" s="1">
        <v>0</v>
      </c>
      <c r="G5" s="1">
        <v>0</v>
      </c>
      <c r="H5" s="1">
        <v>64</v>
      </c>
    </row>
    <row r="6" spans="1:8">
      <c r="A6" s="1" t="s">
        <v>8</v>
      </c>
      <c r="B6" s="2">
        <v>6.84384822845459</v>
      </c>
      <c r="C6" s="1">
        <v>806</v>
      </c>
      <c r="D6" s="1">
        <v>9</v>
      </c>
      <c r="E6" s="1">
        <v>802</v>
      </c>
      <c r="F6" s="1">
        <v>0</v>
      </c>
      <c r="G6" s="1">
        <v>4</v>
      </c>
      <c r="H6" s="1">
        <v>5</v>
      </c>
    </row>
    <row r="7" spans="1:8">
      <c r="A7" s="1" t="s">
        <v>9</v>
      </c>
      <c r="B7" s="2">
        <v>5.858877658843994</v>
      </c>
      <c r="C7" s="1">
        <v>690</v>
      </c>
      <c r="D7" s="1">
        <v>4</v>
      </c>
      <c r="E7" s="1">
        <v>686</v>
      </c>
      <c r="F7" s="1">
        <v>0</v>
      </c>
      <c r="G7" s="1">
        <v>4</v>
      </c>
      <c r="H7" s="1">
        <v>0</v>
      </c>
    </row>
    <row r="8" spans="1:8">
      <c r="A8" s="1" t="s">
        <v>12</v>
      </c>
      <c r="B8" s="2">
        <v>5.230534076690674</v>
      </c>
      <c r="C8" s="1">
        <v>616</v>
      </c>
      <c r="D8" s="1">
        <v>0</v>
      </c>
      <c r="E8" s="1">
        <v>616</v>
      </c>
      <c r="F8" s="1">
        <v>0</v>
      </c>
      <c r="G8" s="1">
        <v>0</v>
      </c>
      <c r="H8" s="1">
        <v>0</v>
      </c>
    </row>
    <row r="9" spans="1:8">
      <c r="A9" s="1" t="s">
        <v>1</v>
      </c>
      <c r="B9" s="2">
        <v>4.924853324890137</v>
      </c>
      <c r="C9" s="1">
        <v>580</v>
      </c>
      <c r="D9" s="1">
        <v>76828</v>
      </c>
      <c r="E9" s="1">
        <v>580</v>
      </c>
      <c r="F9" s="1">
        <v>0</v>
      </c>
      <c r="G9" s="1">
        <v>0</v>
      </c>
      <c r="H9" s="1">
        <v>76828</v>
      </c>
    </row>
    <row r="10" spans="1:8">
      <c r="A10" s="1" t="s">
        <v>2</v>
      </c>
      <c r="B10" s="2">
        <v>4.678610801696777</v>
      </c>
      <c r="C10" s="1">
        <v>551</v>
      </c>
      <c r="D10" s="1">
        <v>3036</v>
      </c>
      <c r="E10" s="1">
        <v>540</v>
      </c>
      <c r="F10" s="1">
        <v>11</v>
      </c>
      <c r="G10" s="1">
        <v>0</v>
      </c>
      <c r="H10" s="1">
        <v>3036</v>
      </c>
    </row>
    <row r="11" spans="1:8">
      <c r="A11" s="1" t="s">
        <v>3</v>
      </c>
      <c r="B11" s="2">
        <v>4.602190494537354</v>
      </c>
      <c r="C11" s="1">
        <v>542</v>
      </c>
      <c r="D11" s="1">
        <v>1028</v>
      </c>
      <c r="E11" s="1">
        <v>542</v>
      </c>
      <c r="F11" s="1">
        <v>0</v>
      </c>
      <c r="G11" s="1">
        <v>0</v>
      </c>
      <c r="H11" s="1">
        <v>1028</v>
      </c>
    </row>
    <row r="12" spans="1:8">
      <c r="A12" s="1" t="s">
        <v>13</v>
      </c>
      <c r="B12" s="2">
        <v>4.007812023162842</v>
      </c>
      <c r="C12" s="1">
        <v>472</v>
      </c>
      <c r="D12" s="1">
        <v>0</v>
      </c>
      <c r="E12" s="1">
        <v>472</v>
      </c>
      <c r="F12" s="1">
        <v>0</v>
      </c>
      <c r="G12" s="1">
        <v>0</v>
      </c>
      <c r="H12" s="1">
        <v>0</v>
      </c>
    </row>
    <row r="13" spans="1:8">
      <c r="A13" s="1" t="s">
        <v>4</v>
      </c>
      <c r="B13" s="2">
        <v>3.634202241897583</v>
      </c>
      <c r="C13" s="1">
        <v>428</v>
      </c>
      <c r="D13" s="1">
        <v>1024</v>
      </c>
      <c r="E13" s="1">
        <v>36</v>
      </c>
      <c r="F13" s="1">
        <v>392</v>
      </c>
      <c r="G13" s="1">
        <v>0</v>
      </c>
      <c r="H13" s="1">
        <v>1024</v>
      </c>
    </row>
    <row r="14" spans="1:8">
      <c r="A14" s="1" t="s">
        <v>14</v>
      </c>
      <c r="B14" s="2">
        <v>3.073787927627564</v>
      </c>
      <c r="C14" s="1">
        <v>362</v>
      </c>
      <c r="D14" s="1">
        <v>0</v>
      </c>
      <c r="E14" s="1">
        <v>362</v>
      </c>
      <c r="F14" s="1">
        <v>0</v>
      </c>
      <c r="G14" s="1">
        <v>0</v>
      </c>
      <c r="H14" s="1">
        <v>0</v>
      </c>
    </row>
    <row r="15" spans="1:8">
      <c r="A15" s="1" t="s">
        <v>11</v>
      </c>
      <c r="B15" s="2">
        <v>2.93792986869812</v>
      </c>
      <c r="C15" s="1">
        <v>346</v>
      </c>
      <c r="D15" s="1">
        <v>4</v>
      </c>
      <c r="E15" s="1">
        <v>342</v>
      </c>
      <c r="F15" s="1">
        <v>0</v>
      </c>
      <c r="G15" s="1">
        <v>4</v>
      </c>
      <c r="H15" s="1">
        <v>0</v>
      </c>
    </row>
    <row r="16" spans="1:8">
      <c r="A16" s="1" t="s">
        <v>15</v>
      </c>
      <c r="B16" s="2">
        <v>2.445444583892822</v>
      </c>
      <c r="C16" s="1">
        <v>288</v>
      </c>
      <c r="D16" s="1">
        <v>0</v>
      </c>
      <c r="E16" s="1">
        <v>280</v>
      </c>
      <c r="F16" s="1">
        <v>8</v>
      </c>
      <c r="G16" s="1">
        <v>0</v>
      </c>
      <c r="H16" s="1">
        <v>0</v>
      </c>
    </row>
    <row r="17" spans="1:8">
      <c r="A17" s="1" t="s">
        <v>16</v>
      </c>
      <c r="B17" s="2">
        <v>2.377515554428101</v>
      </c>
      <c r="C17" s="1">
        <v>280</v>
      </c>
      <c r="D17" s="1">
        <v>0</v>
      </c>
      <c r="E17" s="1">
        <v>280</v>
      </c>
      <c r="F17" s="1">
        <v>0</v>
      </c>
      <c r="G17" s="1">
        <v>0</v>
      </c>
      <c r="H17" s="1">
        <v>0</v>
      </c>
    </row>
    <row r="18" spans="1:8">
      <c r="A18" s="1" t="s">
        <v>17</v>
      </c>
      <c r="B18" s="2">
        <v>1.56236732006073</v>
      </c>
      <c r="C18" s="1">
        <v>184</v>
      </c>
      <c r="D18" s="1">
        <v>0</v>
      </c>
      <c r="E18" s="1">
        <v>184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1.273669004440308</v>
      </c>
      <c r="C19" s="1">
        <v>150</v>
      </c>
      <c r="D19" s="1">
        <v>0</v>
      </c>
      <c r="E19" s="1">
        <v>150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0.4075740873813629</v>
      </c>
      <c r="C20" s="1">
        <v>48</v>
      </c>
      <c r="D20" s="1">
        <v>0</v>
      </c>
      <c r="E20" s="1">
        <v>48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0.3736095726490021</v>
      </c>
      <c r="C21" s="1">
        <v>44</v>
      </c>
      <c r="D21" s="1">
        <v>0</v>
      </c>
      <c r="E21" s="1">
        <v>44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0.3056805729866028</v>
      </c>
      <c r="C22" s="1">
        <v>36</v>
      </c>
      <c r="D22" s="1">
        <v>0</v>
      </c>
      <c r="E22" s="1">
        <v>36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0.3056805729866028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0.2547338008880615</v>
      </c>
      <c r="C24" s="1">
        <v>30</v>
      </c>
      <c r="D24" s="1">
        <v>0</v>
      </c>
      <c r="E24" s="1">
        <v>30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0.1018935218453407</v>
      </c>
      <c r="C25" s="1">
        <v>12</v>
      </c>
      <c r="D25" s="1">
        <v>0</v>
      </c>
      <c r="E25" s="1">
        <v>12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0.06792901456356049</v>
      </c>
      <c r="C26" s="1">
        <v>8</v>
      </c>
      <c r="D26" s="1">
        <v>0</v>
      </c>
      <c r="E26" s="1">
        <v>8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0.06792901456356049</v>
      </c>
      <c r="C27" s="1">
        <v>8</v>
      </c>
      <c r="D27" s="1">
        <v>0</v>
      </c>
      <c r="E27" s="1">
        <v>8</v>
      </c>
      <c r="F27" s="1">
        <v>0</v>
      </c>
      <c r="G27" s="1">
        <v>0</v>
      </c>
      <c r="H27" s="1">
        <v>0</v>
      </c>
    </row>
    <row r="28" spans="1:8">
      <c r="A28" s="1" t="s">
        <v>10</v>
      </c>
      <c r="B28" s="2">
        <v>0.03396450728178024</v>
      </c>
      <c r="C28" s="1">
        <v>4</v>
      </c>
      <c r="D28" s="1">
        <v>4</v>
      </c>
      <c r="E28" s="1">
        <v>0</v>
      </c>
      <c r="F28" s="1">
        <v>0</v>
      </c>
      <c r="G28" s="1">
        <v>4</v>
      </c>
      <c r="H28" s="1">
        <v>0</v>
      </c>
    </row>
    <row r="29" spans="1:8">
      <c r="A29" s="1" t="s">
        <v>27</v>
      </c>
      <c r="B29" s="2">
        <v>0.03396450728178024</v>
      </c>
      <c r="C29" s="1">
        <v>4</v>
      </c>
      <c r="D29" s="1">
        <v>0</v>
      </c>
      <c r="E29" s="1">
        <v>4</v>
      </c>
      <c r="F29" s="1">
        <v>0</v>
      </c>
      <c r="G29" s="1">
        <v>0</v>
      </c>
      <c r="H29" s="1">
        <v>0</v>
      </c>
    </row>
    <row r="30" spans="1:8">
      <c r="A30" s="1" t="s">
        <v>28</v>
      </c>
      <c r="B30" s="2">
        <v>0.01698225364089012</v>
      </c>
      <c r="C30" s="1">
        <v>2</v>
      </c>
      <c r="D30" s="1">
        <v>0</v>
      </c>
      <c r="E30" s="1">
        <v>2</v>
      </c>
      <c r="F30" s="1">
        <v>0</v>
      </c>
      <c r="G30" s="1">
        <v>0</v>
      </c>
      <c r="H30" s="1">
        <v>0</v>
      </c>
    </row>
    <row r="31" spans="1:8">
      <c r="A31" t="s">
        <v>30</v>
      </c>
      <c r="B31">
        <f>SUBTOTAL(109,[flash_percent])</f>
        <v>0</v>
      </c>
      <c r="C31">
        <f>SUBTOTAL(109,[flash])</f>
        <v>0</v>
      </c>
      <c r="D31">
        <f>SUBTOTAL(109,[ram])</f>
        <v>0</v>
      </c>
      <c r="E31">
        <f>SUBTOTAL(109,[Code])</f>
        <v>0</v>
      </c>
      <c r="F31">
        <f>SUBTOTAL(109,[RO_data])</f>
        <v>0</v>
      </c>
      <c r="G31">
        <f>SUBTOTAL(109,[RW_data])</f>
        <v>0</v>
      </c>
      <c r="H31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2024-10-19T07:36:44Z</dcterms:created>
  <dcterms:modified xsi:type="dcterms:W3CDTF">2024-10-19T07:36:44Z</dcterms:modified>
</cp:coreProperties>
</file>