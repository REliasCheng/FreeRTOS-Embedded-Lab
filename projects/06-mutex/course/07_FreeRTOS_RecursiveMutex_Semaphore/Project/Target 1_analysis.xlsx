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<sst xmlns="http://schemas.openxmlformats.org/spreadsheetml/2006/main" count="61" uniqueCount="41">
  <si>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</si>
  <si>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</si>
  <si>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</si>
  <si>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</si>
  <si>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</si>
  <si>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</si>
  <si>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</si>
  <si>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</si>
  <si>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</si>
  <si>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</si>
  <si>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</si>
  <si>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</si>
  <si>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</si>
  <si>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</si>
  <si>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</si>
  <si>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</si>
  <si>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</si>
  <si>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</si>
  <si>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</si>
  <si>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systick.o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</si>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</sst>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ram_percent!$A$3:$A$33</c:f>
              <c:strCache>
                <c:ptCount val="31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30">
                  <c:v>Totals</c:v>
                </c:pt>
              </c:strCache>
            </c:strRef>
          </c:cat>
          <c:val>
            <c:numRef>
              <c:f>ram_percent!$B$3:$B$33</c:f>
              <c:numCache>
                <c:formatCode>General</c:formatCode>
                <c:ptCount val="31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0.02003982849419117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flash_percent!$A$3:$A$33</c:f>
              <c:strCache>
                <c:ptCount val="31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timers.o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main.o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systick.o</c:v>
                </c:pt>
                <c:pt idx="18">
                  <c:v>init.o</c:v>
                </c:pt>
                <c:pt idx="19">
                  <c:v>uidiv.o</c:v>
                </c:pt>
                <c:pt idx="20">
                  <c:v>puts.o</c:v>
                </c:pt>
                <c:pt idx="21">
                  <c:v>memseta.o</c:v>
                </c:pt>
                <c:pt idx="22">
                  <c:v>memcpya.o</c:v>
                </c:pt>
                <c:pt idx="23">
                  <c:v>handlers.o</c:v>
                </c:pt>
                <c:pt idx="24">
                  <c:v>gd32f4xx_it.o</c:v>
                </c:pt>
                <c:pt idx="25">
                  <c:v>entry9a.o</c:v>
                </c:pt>
                <c:pt idx="26">
                  <c:v>entry2.o</c:v>
                </c:pt>
                <c:pt idx="27">
                  <c:v>stdout.o</c:v>
                </c:pt>
                <c:pt idx="28">
                  <c:v>entry5.o</c:v>
                </c:pt>
                <c:pt idx="29">
                  <c:v>exti.o</c:v>
                </c:pt>
                <c:pt idx="30">
                  <c:v>Totals</c:v>
                </c:pt>
              </c:strCache>
            </c:strRef>
          </c:cat>
          <c:val>
            <c:numRef>
              <c:f>flash_percent!$B$3:$B$33</c:f>
              <c:numCache>
                <c:formatCode>General</c:formatCode>
                <c:ptCount val="31"/>
                <c:pt idx="0">
                  <c:v>26.65267562866211</c:v>
                </c:pt>
                <c:pt idx="1">
                  <c:v>17.50961875915527</c:v>
                </c:pt>
                <c:pt idx="2">
                  <c:v>7.226303100585938</c:v>
                </c:pt>
                <c:pt idx="3">
                  <c:v>6.568730354309082</c:v>
                </c:pt>
                <c:pt idx="4">
                  <c:v>5.078698635101318</c:v>
                </c:pt>
                <c:pt idx="5">
                  <c:v>4.644980907440186</c:v>
                </c:pt>
                <c:pt idx="6">
                  <c:v>4.30919885635376</c:v>
                </c:pt>
                <c:pt idx="7">
                  <c:v>4.225253582000732</c:v>
                </c:pt>
                <c:pt idx="8">
                  <c:v>3.791535615921021</c:v>
                </c:pt>
                <c:pt idx="9">
                  <c:v>3.301853895187378</c:v>
                </c:pt>
                <c:pt idx="10">
                  <c:v>2.994053840637207</c:v>
                </c:pt>
                <c:pt idx="11">
                  <c:v>2.53235387802124</c:v>
                </c:pt>
                <c:pt idx="12">
                  <c:v>2.420426607131958</c:v>
                </c:pt>
                <c:pt idx="13">
                  <c:v>2.014690399169922</c:v>
                </c:pt>
                <c:pt idx="14">
                  <c:v>1.846799612045288</c:v>
                </c:pt>
                <c:pt idx="15">
                  <c:v>1.287163376808167</c:v>
                </c:pt>
                <c:pt idx="16">
                  <c:v>1.049317955970764</c:v>
                </c:pt>
                <c:pt idx="17">
                  <c:v>0.6715635061264038</c:v>
                </c:pt>
                <c:pt idx="18">
                  <c:v>0.3357817530632019</c:v>
                </c:pt>
                <c:pt idx="19">
                  <c:v>0.3077999353408814</c:v>
                </c:pt>
                <c:pt idx="20">
                  <c:v>0.2518362998962402</c:v>
                </c:pt>
                <c:pt idx="21">
                  <c:v>0.2518362998962402</c:v>
                </c:pt>
                <c:pt idx="22">
                  <c:v>0.2518362998962402</c:v>
                </c:pt>
                <c:pt idx="23">
                  <c:v>0.2098635882139206</c:v>
                </c:pt>
                <c:pt idx="24">
                  <c:v>0.08394543826580048</c:v>
                </c:pt>
                <c:pt idx="25">
                  <c:v>0.05596362426877022</c:v>
                </c:pt>
                <c:pt idx="26">
                  <c:v>0.05596362426877022</c:v>
                </c:pt>
                <c:pt idx="27">
                  <c:v>0.02798181213438511</c:v>
                </c:pt>
                <c:pt idx="28">
                  <c:v>0.02798181213438511</c:v>
                </c:pt>
                <c:pt idx="29">
                  <c:v>0.01399090606719255</c:v>
                </c:pt>
                <c:pt idx="30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3" totalsRowCount="1">
  <autoFilter ref="A2:H32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3" totalsRowCount="1">
  <autoFilter ref="A2:H32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3810</v>
      </c>
      <c r="E6" s="1">
        <v>3786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2503</v>
      </c>
      <c r="E7" s="1">
        <v>2464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0.02003982849419117</v>
      </c>
      <c r="C9" s="1">
        <v>16</v>
      </c>
      <c r="D9" s="1">
        <v>604</v>
      </c>
      <c r="E9" s="1">
        <v>604</v>
      </c>
      <c r="F9" s="1">
        <v>0</v>
      </c>
      <c r="G9" s="1">
        <v>0</v>
      </c>
      <c r="H9" s="1">
        <v>16</v>
      </c>
    </row>
    <row r="10" spans="1:8">
      <c r="A10" s="1" t="s">
        <v>8</v>
      </c>
      <c r="B10" s="2">
        <v>0.01127240434288979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3" spans="1:8">
      <c r="A33" t="s">
        <v>32</v>
      </c>
      <c r="B33">
        <f>SUBTOTAL(109,[ram_percent])</f>
        <v>0</v>
      </c>
      <c r="C33">
        <f>SUBTOTAL(109,[ram])</f>
        <v>0</v>
      </c>
      <c r="D33">
        <f>SUBTOTAL(109,[flash])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31</v>
      </c>
      <c r="B2" t="s">
        <v>40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</row>
    <row r="3" spans="1:8">
      <c r="A3" s="1" t="s">
        <v>4</v>
      </c>
      <c r="B3" s="2">
        <v>26.65267562866211</v>
      </c>
      <c r="C3" s="1">
        <v>3810</v>
      </c>
      <c r="D3" s="1">
        <v>800</v>
      </c>
      <c r="E3" s="1">
        <v>3786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17.50961875915527</v>
      </c>
      <c r="C4" s="1">
        <v>2503</v>
      </c>
      <c r="D4" s="1">
        <v>64</v>
      </c>
      <c r="E4" s="1">
        <v>2464</v>
      </c>
      <c r="F4" s="1">
        <v>39</v>
      </c>
      <c r="G4" s="1">
        <v>0</v>
      </c>
      <c r="H4" s="1">
        <v>64</v>
      </c>
    </row>
    <row r="5" spans="1:8">
      <c r="A5" s="1" t="s">
        <v>8</v>
      </c>
      <c r="B5" s="2">
        <v>7.226303100585938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6</v>
      </c>
      <c r="B6" s="2">
        <v>6.568730354309082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9</v>
      </c>
      <c r="B7" s="2">
        <v>5.078698635101318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4.644980907440186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12</v>
      </c>
      <c r="B9" s="2">
        <v>4.30919885635376</v>
      </c>
      <c r="C9" s="1">
        <v>616</v>
      </c>
      <c r="D9" s="1">
        <v>0</v>
      </c>
      <c r="E9" s="1">
        <v>616</v>
      </c>
      <c r="F9" s="1">
        <v>0</v>
      </c>
      <c r="G9" s="1">
        <v>0</v>
      </c>
      <c r="H9" s="1">
        <v>0</v>
      </c>
    </row>
    <row r="10" spans="1:8">
      <c r="A10" s="1" t="s">
        <v>7</v>
      </c>
      <c r="B10" s="2">
        <v>4.225253582000732</v>
      </c>
      <c r="C10" s="1">
        <v>604</v>
      </c>
      <c r="D10" s="1">
        <v>16</v>
      </c>
      <c r="E10" s="1">
        <v>604</v>
      </c>
      <c r="F10" s="1">
        <v>0</v>
      </c>
      <c r="G10" s="1">
        <v>0</v>
      </c>
      <c r="H10" s="1">
        <v>16</v>
      </c>
    </row>
    <row r="11" spans="1:8">
      <c r="A11" s="1" t="s">
        <v>2</v>
      </c>
      <c r="B11" s="2">
        <v>3.791535615921021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3.301853895187378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2.994053840637207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2.53235387802124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2.420426607131958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2.014690399169922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1.846799612045288</v>
      </c>
      <c r="C17" s="1">
        <v>264</v>
      </c>
      <c r="D17" s="1">
        <v>0</v>
      </c>
      <c r="E17" s="1">
        <v>264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1.287163376808167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1.049317955970764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0.6715635061264038</v>
      </c>
      <c r="C20" s="1">
        <v>96</v>
      </c>
      <c r="D20" s="1">
        <v>0</v>
      </c>
      <c r="E20" s="1">
        <v>96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0.3357817530632019</v>
      </c>
      <c r="C21" s="1">
        <v>48</v>
      </c>
      <c r="D21" s="1">
        <v>0</v>
      </c>
      <c r="E21" s="1">
        <v>48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0.3077999353408814</v>
      </c>
      <c r="C22" s="1">
        <v>44</v>
      </c>
      <c r="D22" s="1">
        <v>0</v>
      </c>
      <c r="E22" s="1">
        <v>44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0.2518362998962402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0.2518362998962402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0.2518362998962402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0.2098635882139206</v>
      </c>
      <c r="C26" s="1">
        <v>30</v>
      </c>
      <c r="D26" s="1">
        <v>0</v>
      </c>
      <c r="E26" s="1">
        <v>30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0.08394543826580048</v>
      </c>
      <c r="C27" s="1">
        <v>12</v>
      </c>
      <c r="D27" s="1">
        <v>0</v>
      </c>
      <c r="E27" s="1">
        <v>12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0.05596362426877022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0.05596362426877022</v>
      </c>
      <c r="C29" s="1">
        <v>8</v>
      </c>
      <c r="D29" s="1">
        <v>0</v>
      </c>
      <c r="E29" s="1">
        <v>8</v>
      </c>
      <c r="F29" s="1">
        <v>0</v>
      </c>
      <c r="G29" s="1">
        <v>0</v>
      </c>
      <c r="H29" s="1">
        <v>0</v>
      </c>
    </row>
    <row r="30" spans="1:8">
      <c r="A30" s="1" t="s">
        <v>10</v>
      </c>
      <c r="B30" s="2">
        <v>0.02798181213438511</v>
      </c>
      <c r="C30" s="1">
        <v>4</v>
      </c>
      <c r="D30" s="1">
        <v>4</v>
      </c>
      <c r="E30" s="1">
        <v>0</v>
      </c>
      <c r="F30" s="1">
        <v>0</v>
      </c>
      <c r="G30" s="1">
        <v>4</v>
      </c>
      <c r="H30" s="1">
        <v>0</v>
      </c>
    </row>
    <row r="31" spans="1:8">
      <c r="A31" s="1" t="s">
        <v>29</v>
      </c>
      <c r="B31" s="2">
        <v>0.02798181213438511</v>
      </c>
      <c r="C31" s="1">
        <v>4</v>
      </c>
      <c r="D31" s="1">
        <v>0</v>
      </c>
      <c r="E31" s="1">
        <v>4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0.01399090606719255</v>
      </c>
      <c r="C32" s="1">
        <v>2</v>
      </c>
      <c r="D32" s="1">
        <v>0</v>
      </c>
      <c r="E32" s="1">
        <v>2</v>
      </c>
      <c r="F32" s="1">
        <v>0</v>
      </c>
      <c r="G32" s="1">
        <v>0</v>
      </c>
      <c r="H32" s="1">
        <v>0</v>
      </c>
    </row>
    <row r="33" spans="1:8">
      <c r="A33" t="s">
        <v>32</v>
      </c>
      <c r="B33">
        <f>SUBTOTAL(109,[flash_percent])</f>
        <v>0</v>
      </c>
      <c r="C33">
        <f>SUBTOTAL(109,[flash])</f>
        <v>0</v>
      </c>
      <c r="D33">
        <f>SUBTOTAL(109,[ram])</f>
        <v>0</v>
      </c>
      <c r="E33">
        <f>SUBTOTAL(109,[Code])</f>
        <v>0</v>
      </c>
      <c r="F33">
        <f>SUBTOTAL(109,[RO_data])</f>
        <v>0</v>
      </c>
      <c r="G33">
        <f>SUBTOTAL(109,[RW_data])</f>
        <v>0</v>
      </c>
      <c r="H33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2024-10-21T07:56:54Z</dcterms:created>
  <dcterms:modified xsi:type="dcterms:W3CDTF">2024-10-21T07:56:54Z</dcterms:modified>
</cp:coreProperties>
</file>