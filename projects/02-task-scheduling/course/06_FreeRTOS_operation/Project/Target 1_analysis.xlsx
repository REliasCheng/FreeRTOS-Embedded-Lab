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<sst xmlns="http://schemas.openxmlformats.org/spreadsheetml/2006/main" count="60" uniqueCount="40">
  <si>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</si>
  <si>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</si>
  <si>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</si>
  <si>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</si>
  <si>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</si>
  <si>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</si>
  <si>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</si>
  <si>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</si>
  <si>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</si>
  <si>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</si>
  <si>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</si>
  <si>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</si>
  <si>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</si>
  <si>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</si>
  <si>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gd32f4xx_dma.o</t>
  </si>
  <si>
    <t>gd32f4xx_gpio.o</t>
  </si>
  <si>
    <t>gd32f4xx_rcu.o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</si>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</sst>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ram_percent!$A$3:$A$32</c:f>
              <c:strCache>
                <c:ptCount val="30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29">
                  <c:v>Totals</c:v>
                </c:pt>
              </c:strCache>
            </c:strRef>
          </c:cat>
          <c:val>
            <c:numRef>
              <c:f>ram_percent!$B$3:$B$32</c:f>
              <c:numCache>
                <c:formatCode>General</c:formatCode>
                <c:ptCount val="30"/>
                <c:pt idx="0">
                  <c:v>96.22624969482422</c:v>
                </c:pt>
                <c:pt idx="1">
                  <c:v>1.287559032440186</c:v>
                </c:pt>
                <c:pt idx="2">
                  <c:v>1.282549023628235</c:v>
                </c:pt>
                <c:pt idx="3">
                  <c:v>1.001991510391235</c:v>
                </c:pt>
                <c:pt idx="4">
                  <c:v>0.08015931397676468</c:v>
                </c:pt>
                <c:pt idx="5">
                  <c:v>0.07514935731887817</c:v>
                </c:pt>
                <c:pt idx="6">
                  <c:v>0.02003982849419117</c:v>
                </c:pt>
                <c:pt idx="7">
                  <c:v>0.01127240434288979</c:v>
                </c:pt>
                <c:pt idx="8">
                  <c:v>0.005009957123547792</c:v>
                </c:pt>
                <c:pt idx="9">
                  <c:v>0.005009957123547792</c:v>
                </c:pt>
                <c:pt idx="10">
                  <c:v>0.005009957123547792</c:v>
                </c:pt>
                <c:pt idx="2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flash_percent!$A$3:$A$32</c:f>
              <c:strCache>
                <c:ptCount val="30"/>
                <c:pt idx="0">
                  <c:v>tasks.o</c:v>
                </c:pt>
                <c:pt idx="1">
                  <c:v>timers.o</c:v>
                </c:pt>
                <c:pt idx="2">
                  <c:v>queue.o</c:v>
                </c:pt>
                <c:pt idx="3">
                  <c:v>port.o</c:v>
                </c:pt>
                <c:pt idx="4">
                  <c:v>mc_w.l</c:v>
                </c:pt>
                <c:pt idx="5">
                  <c:v>main.o</c:v>
                </c:pt>
                <c:pt idx="6">
                  <c:v>gd32f4xx_usart.o</c:v>
                </c:pt>
                <c:pt idx="7">
                  <c:v>heap_4.o</c:v>
                </c:pt>
                <c:pt idx="8">
                  <c:v>usart0.o</c:v>
                </c:pt>
                <c:pt idx="9">
                  <c:v>printf3.o</c:v>
                </c:pt>
                <c:pt idx="10">
                  <c:v>startup_gd32f407_427.o</c:v>
                </c:pt>
                <c:pt idx="11">
                  <c:v>gd32f4xx_dma.o</c:v>
                </c:pt>
                <c:pt idx="12">
                  <c:v>system_gd32f4xx.o</c:v>
                </c:pt>
                <c:pt idx="13">
                  <c:v>gd32f4xx_gpio.o</c:v>
                </c:pt>
                <c:pt idx="14">
                  <c:v>gd32f4xx_rcu.o</c:v>
                </c:pt>
                <c:pt idx="15">
                  <c:v>gd32f4xx_misc.o</c:v>
                </c:pt>
                <c:pt idx="16">
                  <c:v>list.o</c:v>
                </c:pt>
                <c:pt idx="17">
                  <c:v>init.o</c:v>
                </c:pt>
                <c:pt idx="18">
                  <c:v>uidiv.o</c:v>
                </c:pt>
                <c:pt idx="19">
                  <c:v>puts.o</c:v>
                </c:pt>
                <c:pt idx="20">
                  <c:v>memseta.o</c:v>
                </c:pt>
                <c:pt idx="21">
                  <c:v>memcpya.o</c:v>
                </c:pt>
                <c:pt idx="22">
                  <c:v>handlers.o</c:v>
                </c:pt>
                <c:pt idx="23">
                  <c:v>gd32f4xx_it.o</c:v>
                </c:pt>
                <c:pt idx="24">
                  <c:v>entry9a.o</c:v>
                </c:pt>
                <c:pt idx="25">
                  <c:v>entry2.o</c:v>
                </c:pt>
                <c:pt idx="26">
                  <c:v>stdout.o</c:v>
                </c:pt>
                <c:pt idx="27">
                  <c:v>entry5.o</c:v>
                </c:pt>
                <c:pt idx="28">
                  <c:v>exti.o</c:v>
                </c:pt>
                <c:pt idx="29">
                  <c:v>Totals</c:v>
                </c:pt>
              </c:strCache>
            </c:strRef>
          </c:cat>
          <c:val>
            <c:numRef>
              <c:f>flash_percent!$B$3:$B$32</c:f>
              <c:numCache>
                <c:formatCode>General</c:formatCode>
                <c:ptCount val="30"/>
                <c:pt idx="0">
                  <c:v>30.12207221984863</c:v>
                </c:pt>
                <c:pt idx="1">
                  <c:v>7.439788818359375</c:v>
                </c:pt>
                <c:pt idx="2">
                  <c:v>6.977895259857178</c:v>
                </c:pt>
                <c:pt idx="3">
                  <c:v>6.647971153259277</c:v>
                </c:pt>
                <c:pt idx="4">
                  <c:v>5.988122940063477</c:v>
                </c:pt>
                <c:pt idx="5">
                  <c:v>5.493236541748047</c:v>
                </c:pt>
                <c:pt idx="6">
                  <c:v>5.080831527709961</c:v>
                </c:pt>
                <c:pt idx="7">
                  <c:v>4.783899784088135</c:v>
                </c:pt>
                <c:pt idx="8">
                  <c:v>4.470471858978272</c:v>
                </c:pt>
                <c:pt idx="9">
                  <c:v>3.893104553222656</c:v>
                </c:pt>
                <c:pt idx="10">
                  <c:v>3.530188083648682</c:v>
                </c:pt>
                <c:pt idx="11">
                  <c:v>2.98581337928772</c:v>
                </c:pt>
                <c:pt idx="12">
                  <c:v>2.853843688964844</c:v>
                </c:pt>
                <c:pt idx="13">
                  <c:v>2.391949892044067</c:v>
                </c:pt>
                <c:pt idx="14">
                  <c:v>2.37545371055603</c:v>
                </c:pt>
                <c:pt idx="15">
                  <c:v>1.517650961875916</c:v>
                </c:pt>
                <c:pt idx="16">
                  <c:v>1.237215399742127</c:v>
                </c:pt>
                <c:pt idx="17">
                  <c:v>0.3959089517593384</c:v>
                </c:pt>
                <c:pt idx="18">
                  <c:v>0.3629165291786194</c:v>
                </c:pt>
                <c:pt idx="19">
                  <c:v>0.2969317138195038</c:v>
                </c:pt>
                <c:pt idx="20">
                  <c:v>0.2969317138195038</c:v>
                </c:pt>
                <c:pt idx="21">
                  <c:v>0.2969317138195038</c:v>
                </c:pt>
                <c:pt idx="22">
                  <c:v>0.2474430948495865</c:v>
                </c:pt>
                <c:pt idx="23">
                  <c:v>0.0989772379398346</c:v>
                </c:pt>
                <c:pt idx="24">
                  <c:v>0.0659848228096962</c:v>
                </c:pt>
                <c:pt idx="25">
                  <c:v>0.0659848228096962</c:v>
                </c:pt>
                <c:pt idx="26">
                  <c:v>0.0329924114048481</c:v>
                </c:pt>
                <c:pt idx="27">
                  <c:v>0.0329924114048481</c:v>
                </c:pt>
                <c:pt idx="28">
                  <c:v>0.01649620570242405</c:v>
                </c:pt>
                <c:pt idx="2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2" totalsRowCount="1">
  <autoFilter ref="A2:H31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2" totalsRowCount="1">
  <autoFilter ref="A2:H31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</row>
    <row r="3" spans="1:8">
      <c r="A3" s="1" t="s">
        <v>1</v>
      </c>
      <c r="B3" s="2">
        <v>96.22624969482422</v>
      </c>
      <c r="C3" s="1">
        <v>76828</v>
      </c>
      <c r="D3" s="1">
        <v>580</v>
      </c>
      <c r="E3" s="1">
        <v>580</v>
      </c>
      <c r="F3" s="1">
        <v>0</v>
      </c>
      <c r="G3" s="1">
        <v>0</v>
      </c>
      <c r="H3" s="1">
        <v>76828</v>
      </c>
    </row>
    <row r="4" spans="1:8">
      <c r="A4" s="1" t="s">
        <v>2</v>
      </c>
      <c r="B4" s="2">
        <v>1.287559032440186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1.282549023628235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1.001991510391235</v>
      </c>
      <c r="C6" s="1">
        <v>800</v>
      </c>
      <c r="D6" s="1">
        <v>3652</v>
      </c>
      <c r="E6" s="1">
        <v>3648</v>
      </c>
      <c r="F6" s="1">
        <v>4</v>
      </c>
      <c r="G6" s="1">
        <v>0</v>
      </c>
      <c r="H6" s="1">
        <v>800</v>
      </c>
    </row>
    <row r="7" spans="1:8">
      <c r="A7" s="1" t="s">
        <v>5</v>
      </c>
      <c r="B7" s="2">
        <v>0.08015931397676468</v>
      </c>
      <c r="C7" s="1">
        <v>64</v>
      </c>
      <c r="D7" s="1">
        <v>846</v>
      </c>
      <c r="E7" s="1">
        <v>846</v>
      </c>
      <c r="F7" s="1">
        <v>0</v>
      </c>
      <c r="G7" s="1">
        <v>0</v>
      </c>
      <c r="H7" s="1">
        <v>64</v>
      </c>
    </row>
    <row r="8" spans="1:8">
      <c r="A8" s="1" t="s">
        <v>6</v>
      </c>
      <c r="B8" s="2">
        <v>0.07514935731887817</v>
      </c>
      <c r="C8" s="1">
        <v>60</v>
      </c>
      <c r="D8" s="1">
        <v>902</v>
      </c>
      <c r="E8" s="1">
        <v>902</v>
      </c>
      <c r="F8" s="1">
        <v>0</v>
      </c>
      <c r="G8" s="1">
        <v>0</v>
      </c>
      <c r="H8" s="1">
        <v>60</v>
      </c>
    </row>
    <row r="9" spans="1:8">
      <c r="A9" s="1" t="s">
        <v>7</v>
      </c>
      <c r="B9" s="2">
        <v>0.02003982849419117</v>
      </c>
      <c r="C9" s="1">
        <v>16</v>
      </c>
      <c r="D9" s="1">
        <v>666</v>
      </c>
      <c r="E9" s="1">
        <v>654</v>
      </c>
      <c r="F9" s="1">
        <v>12</v>
      </c>
      <c r="G9" s="1">
        <v>0</v>
      </c>
      <c r="H9" s="1">
        <v>16</v>
      </c>
    </row>
    <row r="10" spans="1:8">
      <c r="A10" s="1" t="s">
        <v>8</v>
      </c>
      <c r="B10" s="2">
        <v>0.01127240434288979</v>
      </c>
      <c r="C10" s="1">
        <v>9</v>
      </c>
      <c r="D10" s="1">
        <v>806</v>
      </c>
      <c r="E10" s="1">
        <v>802</v>
      </c>
      <c r="F10" s="1">
        <v>0</v>
      </c>
      <c r="G10" s="1">
        <v>4</v>
      </c>
      <c r="H10" s="1">
        <v>5</v>
      </c>
    </row>
    <row r="11" spans="1:8">
      <c r="A11" s="1" t="s">
        <v>9</v>
      </c>
      <c r="B11" s="2">
        <v>0.005009957123547792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0.005009957123547792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0.005009957123547792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32" spans="1:8">
      <c r="A32" t="s">
        <v>31</v>
      </c>
      <c r="B32">
        <f>SUBTOTAL(109,[ram_percent])</f>
        <v>0</v>
      </c>
      <c r="C32">
        <f>SUBTOTAL(109,[ram])</f>
        <v>0</v>
      </c>
      <c r="D32">
        <f>SUBTOTAL(109,[flash])</f>
        <v>0</v>
      </c>
      <c r="E32">
        <f>SUBTOTAL(109,[Code])</f>
        <v>0</v>
      </c>
      <c r="F32">
        <f>SUBTOTAL(109,[RO_data])</f>
        <v>0</v>
      </c>
      <c r="G32">
        <f>SUBTOTAL(109,[RW_data])</f>
        <v>0</v>
      </c>
      <c r="H3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30</v>
      </c>
      <c r="B2" t="s">
        <v>39</v>
      </c>
      <c r="C2" t="s">
        <v>34</v>
      </c>
      <c r="D2" t="s">
        <v>33</v>
      </c>
      <c r="E2" t="s">
        <v>35</v>
      </c>
      <c r="F2" t="s">
        <v>36</v>
      </c>
      <c r="G2" t="s">
        <v>37</v>
      </c>
      <c r="H2" t="s">
        <v>38</v>
      </c>
    </row>
    <row r="3" spans="1:8">
      <c r="A3" s="1" t="s">
        <v>4</v>
      </c>
      <c r="B3" s="2">
        <v>30.12207221984863</v>
      </c>
      <c r="C3" s="1">
        <v>3652</v>
      </c>
      <c r="D3" s="1">
        <v>800</v>
      </c>
      <c r="E3" s="1">
        <v>3648</v>
      </c>
      <c r="F3" s="1">
        <v>4</v>
      </c>
      <c r="G3" s="1">
        <v>0</v>
      </c>
      <c r="H3" s="1">
        <v>800</v>
      </c>
    </row>
    <row r="4" spans="1:8">
      <c r="A4" s="1" t="s">
        <v>6</v>
      </c>
      <c r="B4" s="2">
        <v>7.439788818359375</v>
      </c>
      <c r="C4" s="1">
        <v>902</v>
      </c>
      <c r="D4" s="1">
        <v>60</v>
      </c>
      <c r="E4" s="1">
        <v>902</v>
      </c>
      <c r="F4" s="1">
        <v>0</v>
      </c>
      <c r="G4" s="1">
        <v>0</v>
      </c>
      <c r="H4" s="1">
        <v>60</v>
      </c>
    </row>
    <row r="5" spans="1:8">
      <c r="A5" s="1" t="s">
        <v>5</v>
      </c>
      <c r="B5" s="2">
        <v>6.977895259857178</v>
      </c>
      <c r="C5" s="1">
        <v>846</v>
      </c>
      <c r="D5" s="1">
        <v>64</v>
      </c>
      <c r="E5" s="1">
        <v>846</v>
      </c>
      <c r="F5" s="1">
        <v>0</v>
      </c>
      <c r="G5" s="1">
        <v>0</v>
      </c>
      <c r="H5" s="1">
        <v>64</v>
      </c>
    </row>
    <row r="6" spans="1:8">
      <c r="A6" s="1" t="s">
        <v>8</v>
      </c>
      <c r="B6" s="2">
        <v>6.647971153259277</v>
      </c>
      <c r="C6" s="1">
        <v>806</v>
      </c>
      <c r="D6" s="1">
        <v>9</v>
      </c>
      <c r="E6" s="1">
        <v>802</v>
      </c>
      <c r="F6" s="1">
        <v>0</v>
      </c>
      <c r="G6" s="1">
        <v>4</v>
      </c>
      <c r="H6" s="1">
        <v>5</v>
      </c>
    </row>
    <row r="7" spans="1:8">
      <c r="A7" s="1" t="s">
        <v>9</v>
      </c>
      <c r="B7" s="2">
        <v>5.988122940063477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7</v>
      </c>
      <c r="B8" s="2">
        <v>5.493236541748047</v>
      </c>
      <c r="C8" s="1">
        <v>666</v>
      </c>
      <c r="D8" s="1">
        <v>16</v>
      </c>
      <c r="E8" s="1">
        <v>654</v>
      </c>
      <c r="F8" s="1">
        <v>12</v>
      </c>
      <c r="G8" s="1">
        <v>0</v>
      </c>
      <c r="H8" s="1">
        <v>16</v>
      </c>
    </row>
    <row r="9" spans="1:8">
      <c r="A9" s="1" t="s">
        <v>12</v>
      </c>
      <c r="B9" s="2">
        <v>5.080831527709961</v>
      </c>
      <c r="C9" s="1">
        <v>616</v>
      </c>
      <c r="D9" s="1">
        <v>0</v>
      </c>
      <c r="E9" s="1">
        <v>616</v>
      </c>
      <c r="F9" s="1">
        <v>0</v>
      </c>
      <c r="G9" s="1">
        <v>0</v>
      </c>
      <c r="H9" s="1">
        <v>0</v>
      </c>
    </row>
    <row r="10" spans="1:8">
      <c r="A10" s="1" t="s">
        <v>1</v>
      </c>
      <c r="B10" s="2">
        <v>4.783899784088135</v>
      </c>
      <c r="C10" s="1">
        <v>580</v>
      </c>
      <c r="D10" s="1">
        <v>76828</v>
      </c>
      <c r="E10" s="1">
        <v>580</v>
      </c>
      <c r="F10" s="1">
        <v>0</v>
      </c>
      <c r="G10" s="1">
        <v>0</v>
      </c>
      <c r="H10" s="1">
        <v>76828</v>
      </c>
    </row>
    <row r="11" spans="1:8">
      <c r="A11" s="1" t="s">
        <v>2</v>
      </c>
      <c r="B11" s="2">
        <v>4.470471858978272</v>
      </c>
      <c r="C11" s="1">
        <v>542</v>
      </c>
      <c r="D11" s="1">
        <v>1028</v>
      </c>
      <c r="E11" s="1">
        <v>542</v>
      </c>
      <c r="F11" s="1">
        <v>0</v>
      </c>
      <c r="G11" s="1">
        <v>0</v>
      </c>
      <c r="H11" s="1">
        <v>1028</v>
      </c>
    </row>
    <row r="12" spans="1:8">
      <c r="A12" s="1" t="s">
        <v>13</v>
      </c>
      <c r="B12" s="2">
        <v>3.893104553222656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3</v>
      </c>
      <c r="B13" s="2">
        <v>3.530188083648682</v>
      </c>
      <c r="C13" s="1">
        <v>428</v>
      </c>
      <c r="D13" s="1">
        <v>1024</v>
      </c>
      <c r="E13" s="1">
        <v>36</v>
      </c>
      <c r="F13" s="1">
        <v>392</v>
      </c>
      <c r="G13" s="1">
        <v>0</v>
      </c>
      <c r="H13" s="1">
        <v>1024</v>
      </c>
    </row>
    <row r="14" spans="1:8">
      <c r="A14" s="1" t="s">
        <v>14</v>
      </c>
      <c r="B14" s="2">
        <v>2.98581337928772</v>
      </c>
      <c r="C14" s="1">
        <v>362</v>
      </c>
      <c r="D14" s="1">
        <v>0</v>
      </c>
      <c r="E14" s="1">
        <v>362</v>
      </c>
      <c r="F14" s="1">
        <v>0</v>
      </c>
      <c r="G14" s="1">
        <v>0</v>
      </c>
      <c r="H14" s="1">
        <v>0</v>
      </c>
    </row>
    <row r="15" spans="1:8">
      <c r="A15" s="1" t="s">
        <v>11</v>
      </c>
      <c r="B15" s="2">
        <v>2.853843688964844</v>
      </c>
      <c r="C15" s="1">
        <v>346</v>
      </c>
      <c r="D15" s="1">
        <v>4</v>
      </c>
      <c r="E15" s="1">
        <v>342</v>
      </c>
      <c r="F15" s="1">
        <v>0</v>
      </c>
      <c r="G15" s="1">
        <v>4</v>
      </c>
      <c r="H15" s="1">
        <v>0</v>
      </c>
    </row>
    <row r="16" spans="1:8">
      <c r="A16" s="1" t="s">
        <v>15</v>
      </c>
      <c r="B16" s="2">
        <v>2.391949892044067</v>
      </c>
      <c r="C16" s="1">
        <v>290</v>
      </c>
      <c r="D16" s="1">
        <v>0</v>
      </c>
      <c r="E16" s="1">
        <v>290</v>
      </c>
      <c r="F16" s="1">
        <v>0</v>
      </c>
      <c r="G16" s="1">
        <v>0</v>
      </c>
      <c r="H16" s="1">
        <v>0</v>
      </c>
    </row>
    <row r="17" spans="1:8">
      <c r="A17" s="1" t="s">
        <v>16</v>
      </c>
      <c r="B17" s="2">
        <v>2.37545371055603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1.517650961875916</v>
      </c>
      <c r="C18" s="1">
        <v>184</v>
      </c>
      <c r="D18" s="1">
        <v>0</v>
      </c>
      <c r="E18" s="1">
        <v>184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1.237215399742127</v>
      </c>
      <c r="C19" s="1">
        <v>150</v>
      </c>
      <c r="D19" s="1">
        <v>0</v>
      </c>
      <c r="E19" s="1">
        <v>150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0.3959089517593384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0.3629165291786194</v>
      </c>
      <c r="C21" s="1">
        <v>44</v>
      </c>
      <c r="D21" s="1">
        <v>0</v>
      </c>
      <c r="E21" s="1">
        <v>44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0.2969317138195038</v>
      </c>
      <c r="C22" s="1">
        <v>36</v>
      </c>
      <c r="D22" s="1">
        <v>0</v>
      </c>
      <c r="E22" s="1">
        <v>36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0.2969317138195038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0.2969317138195038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0.2474430948495865</v>
      </c>
      <c r="C25" s="1">
        <v>30</v>
      </c>
      <c r="D25" s="1">
        <v>0</v>
      </c>
      <c r="E25" s="1">
        <v>30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0.0989772379398346</v>
      </c>
      <c r="C26" s="1">
        <v>12</v>
      </c>
      <c r="D26" s="1">
        <v>0</v>
      </c>
      <c r="E26" s="1">
        <v>12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0.0659848228096962</v>
      </c>
      <c r="C27" s="1">
        <v>8</v>
      </c>
      <c r="D27" s="1">
        <v>0</v>
      </c>
      <c r="E27" s="1">
        <v>8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0.0659848228096962</v>
      </c>
      <c r="C28" s="1">
        <v>8</v>
      </c>
      <c r="D28" s="1">
        <v>0</v>
      </c>
      <c r="E28" s="1">
        <v>8</v>
      </c>
      <c r="F28" s="1">
        <v>0</v>
      </c>
      <c r="G28" s="1">
        <v>0</v>
      </c>
      <c r="H28" s="1">
        <v>0</v>
      </c>
    </row>
    <row r="29" spans="1:8">
      <c r="A29" s="1" t="s">
        <v>10</v>
      </c>
      <c r="B29" s="2">
        <v>0.0329924114048481</v>
      </c>
      <c r="C29" s="1">
        <v>4</v>
      </c>
      <c r="D29" s="1">
        <v>4</v>
      </c>
      <c r="E29" s="1">
        <v>0</v>
      </c>
      <c r="F29" s="1">
        <v>0</v>
      </c>
      <c r="G29" s="1">
        <v>4</v>
      </c>
      <c r="H29" s="1">
        <v>0</v>
      </c>
    </row>
    <row r="30" spans="1:8">
      <c r="A30" s="1" t="s">
        <v>28</v>
      </c>
      <c r="B30" s="2">
        <v>0.0329924114048481</v>
      </c>
      <c r="C30" s="1">
        <v>4</v>
      </c>
      <c r="D30" s="1">
        <v>0</v>
      </c>
      <c r="E30" s="1">
        <v>4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0.01649620570242405</v>
      </c>
      <c r="C31" s="1">
        <v>2</v>
      </c>
      <c r="D31" s="1">
        <v>0</v>
      </c>
      <c r="E31" s="1">
        <v>2</v>
      </c>
      <c r="F31" s="1">
        <v>0</v>
      </c>
      <c r="G31" s="1">
        <v>0</v>
      </c>
      <c r="H31" s="1">
        <v>0</v>
      </c>
    </row>
    <row r="32" spans="1:8">
      <c r="A32" t="s">
        <v>31</v>
      </c>
      <c r="B32">
        <f>SUBTOTAL(109,[flash_percent])</f>
        <v>0</v>
      </c>
      <c r="C32">
        <f>SUBTOTAL(109,[flash])</f>
        <v>0</v>
      </c>
      <c r="D32">
        <f>SUBTOTAL(109,[ram])</f>
        <v>0</v>
      </c>
      <c r="E32">
        <f>SUBTOTAL(109,[Code])</f>
        <v>0</v>
      </c>
      <c r="F32">
        <f>SUBTOTAL(109,[RO_data])</f>
        <v>0</v>
      </c>
      <c r="G32">
        <f>SUBTOTAL(109,[RW_data])</f>
        <v>0</v>
      </c>
      <c r="H3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2024-10-19T08:01:05Z</dcterms:created>
  <dcterms:modified xsi:type="dcterms:W3CDTF">2024-10-19T08:01:05Z</dcterms:modified>
</cp:coreProperties>
</file>