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<sst xmlns="http://schemas.openxmlformats.org/spreadsheetml/2006/main" count="62" uniqueCount="42">
  <si>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</si>
  <si>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</si>
  <si>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</si>
  <si>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</si>
  <si>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</si>
  <si>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</si>
  <si>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</si>
  <si>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</si>
  <si>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</si>
  <si>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</si>
  <si>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</si>
  <si>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</si>
  <si>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</si>
  <si>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gd32f4xx_timer.o</t>
  </si>
  <si>
    <t>printf3.o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</si>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</sst>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ram_percent!$A$3:$A$34</c:f>
              <c:strCache>
                <c:ptCount val="32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1">
                  <c:v>Totals</c:v>
                </c:pt>
              </c:strCache>
            </c:strRef>
          </c:cat>
          <c:val>
            <c:numRef>
              <c:f>ram_percent!$B$3:$B$34</c:f>
              <c:numCache>
                <c:formatCode>General</c:formatCode>
                <c:ptCount val="32"/>
                <c:pt idx="0">
                  <c:v>96.23107147216797</c:v>
                </c:pt>
                <c:pt idx="1">
                  <c:v>1.287623524665833</c:v>
                </c:pt>
                <c:pt idx="2">
                  <c:v>1.282613277435303</c:v>
                </c:pt>
                <c:pt idx="3">
                  <c:v>1.002041697502136</c:v>
                </c:pt>
                <c:pt idx="4">
                  <c:v>0.08016332983970642</c:v>
                </c:pt>
                <c:pt idx="5">
                  <c:v>0.07515312731266022</c:v>
                </c:pt>
                <c:pt idx="6">
                  <c:v>0.01503062527626753</c:v>
                </c:pt>
                <c:pt idx="7">
                  <c:v>0.01127296872437</c:v>
                </c:pt>
                <c:pt idx="8">
                  <c:v>0.005010208114981651</c:v>
                </c:pt>
                <c:pt idx="9">
                  <c:v>0.005010208114981651</c:v>
                </c:pt>
                <c:pt idx="10">
                  <c:v>0.005010208114981651</c:v>
                </c:pt>
                <c:pt idx="3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flash_percent!$A$3:$A$34</c:f>
              <c:strCache>
                <c:ptCount val="32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gd32f4xx_timer.o</c:v>
                </c:pt>
                <c:pt idx="8">
                  <c:v>usart0.o</c:v>
                </c:pt>
                <c:pt idx="9">
                  <c:v>main.o</c:v>
                </c:pt>
                <c:pt idx="10">
                  <c:v>printf3.o</c:v>
                </c:pt>
                <c:pt idx="11">
                  <c:v>startup_gd32f407_427.o</c:v>
                </c:pt>
                <c:pt idx="12">
                  <c:v>gd32f4xx_dma.o</c:v>
                </c:pt>
                <c:pt idx="13">
                  <c:v>system_gd32f4xx.o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systick.o</c:v>
                </c:pt>
                <c:pt idx="19">
                  <c:v>init.o</c:v>
                </c:pt>
                <c:pt idx="20">
                  <c:v>uidiv.o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handlers.o</c:v>
                </c:pt>
                <c:pt idx="25">
                  <c:v>gd32f4xx_it.o</c:v>
                </c:pt>
                <c:pt idx="26">
                  <c:v>entry9a.o</c:v>
                </c:pt>
                <c:pt idx="27">
                  <c:v>entry2.o</c:v>
                </c:pt>
                <c:pt idx="28">
                  <c:v>stdout.o</c:v>
                </c:pt>
                <c:pt idx="29">
                  <c:v>entry5.o</c:v>
                </c:pt>
                <c:pt idx="30">
                  <c:v>exti.o</c:v>
                </c:pt>
                <c:pt idx="31">
                  <c:v>Totals</c:v>
                </c:pt>
              </c:strCache>
            </c:strRef>
          </c:cat>
          <c:val>
            <c:numRef>
              <c:f>flash_percent!$B$3:$B$34</c:f>
              <c:numCache>
                <c:formatCode>General</c:formatCode>
                <c:ptCount val="32"/>
                <c:pt idx="0">
                  <c:v>23.69675827026367</c:v>
                </c:pt>
                <c:pt idx="1">
                  <c:v>8.413480758666992</c:v>
                </c:pt>
                <c:pt idx="2">
                  <c:v>7.589105129241943</c:v>
                </c:pt>
                <c:pt idx="3">
                  <c:v>7.411298751831055</c:v>
                </c:pt>
                <c:pt idx="4">
                  <c:v>5.86761474609375</c:v>
                </c:pt>
                <c:pt idx="5">
                  <c:v>5.366523742675781</c:v>
                </c:pt>
                <c:pt idx="6">
                  <c:v>4.978582382202148</c:v>
                </c:pt>
                <c:pt idx="7">
                  <c:v>4.509819984436035</c:v>
                </c:pt>
                <c:pt idx="8">
                  <c:v>4.380506038665772</c:v>
                </c:pt>
                <c:pt idx="9">
                  <c:v>4.332013130187988</c:v>
                </c:pt>
                <c:pt idx="10">
                  <c:v>3.814757823944092</c:v>
                </c:pt>
                <c:pt idx="11">
                  <c:v>3.459144830703735</c:v>
                </c:pt>
                <c:pt idx="12">
                  <c:v>2.92572546005249</c:v>
                </c:pt>
                <c:pt idx="13">
                  <c:v>2.796411514282227</c:v>
                </c:pt>
                <c:pt idx="14">
                  <c:v>2.60244083404541</c:v>
                </c:pt>
                <c:pt idx="15">
                  <c:v>2.214499235153198</c:v>
                </c:pt>
                <c:pt idx="16">
                  <c:v>1.487109065055847</c:v>
                </c:pt>
                <c:pt idx="17">
                  <c:v>1.212317109107971</c:v>
                </c:pt>
                <c:pt idx="18">
                  <c:v>0.7758829593658447</c:v>
                </c:pt>
                <c:pt idx="19">
                  <c:v>0.3879414796829224</c:v>
                </c:pt>
                <c:pt idx="20">
                  <c:v>0.3556130230426788</c:v>
                </c:pt>
                <c:pt idx="21">
                  <c:v>0.2909561097621918</c:v>
                </c:pt>
                <c:pt idx="22">
                  <c:v>0.2909561097621918</c:v>
                </c:pt>
                <c:pt idx="23">
                  <c:v>0.2909561097621918</c:v>
                </c:pt>
                <c:pt idx="24">
                  <c:v>0.2424634248018265</c:v>
                </c:pt>
                <c:pt idx="25">
                  <c:v>0.09698536992073059</c:v>
                </c:pt>
                <c:pt idx="26">
                  <c:v>0.06465691328048706</c:v>
                </c:pt>
                <c:pt idx="27">
                  <c:v>0.06465691328048706</c:v>
                </c:pt>
                <c:pt idx="28">
                  <c:v>0.03232845664024353</c:v>
                </c:pt>
                <c:pt idx="29">
                  <c:v>0.03232845664024353</c:v>
                </c:pt>
                <c:pt idx="30">
                  <c:v>0.01616422832012177</c:v>
                </c:pt>
                <c:pt idx="3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4" totalsRowCount="1">
  <autoFilter ref="A2:H3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4" totalsRowCount="1">
  <autoFilter ref="A2:H3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 spans="1:8">
      <c r="A3" s="1" t="s">
        <v>1</v>
      </c>
      <c r="B3" s="2">
        <v>96.23107147216797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1.287623524665833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1.282613277435303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1.002041697502136</v>
      </c>
      <c r="C6" s="1">
        <v>800</v>
      </c>
      <c r="D6" s="1">
        <v>2932</v>
      </c>
      <c r="E6" s="1">
        <v>2908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0.08016332983970642</v>
      </c>
      <c r="C7" s="1">
        <v>64</v>
      </c>
      <c r="D7" s="1">
        <v>1041</v>
      </c>
      <c r="E7" s="1">
        <v>1002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0.07515312731266022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0.01503062527626753</v>
      </c>
      <c r="C9" s="1">
        <v>12</v>
      </c>
      <c r="D9" s="1">
        <v>536</v>
      </c>
      <c r="E9" s="1">
        <v>536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0.01127296872437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0.005010208114981651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0.005010208114981651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0.005010208114981651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4" spans="1:8">
      <c r="A34" t="s">
        <v>33</v>
      </c>
      <c r="B34">
        <f>SUBTOTAL(109,[ram_percent])</f>
        <v>0</v>
      </c>
      <c r="C34">
        <f>SUBTOTAL(109,[ram])</f>
        <v>0</v>
      </c>
      <c r="D34">
        <f>SUBTOTAL(109,[flash])</f>
        <v>0</v>
      </c>
      <c r="E34">
        <f>SUBTOTAL(109,[Code])</f>
        <v>0</v>
      </c>
      <c r="F34">
        <f>SUBTOTAL(109,[RO_data])</f>
        <v>0</v>
      </c>
      <c r="G34">
        <f>SUBTOTAL(109,[RW_data])</f>
        <v>0</v>
      </c>
      <c r="H3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32</v>
      </c>
      <c r="B2" t="s">
        <v>41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</row>
    <row r="3" spans="1:8">
      <c r="A3" s="1" t="s">
        <v>4</v>
      </c>
      <c r="B3" s="2">
        <v>23.69675827026367</v>
      </c>
      <c r="C3" s="1">
        <v>2932</v>
      </c>
      <c r="D3" s="1">
        <v>800</v>
      </c>
      <c r="E3" s="1">
        <v>2908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8.413480758666992</v>
      </c>
      <c r="C4" s="1">
        <v>1041</v>
      </c>
      <c r="D4" s="1">
        <v>64</v>
      </c>
      <c r="E4" s="1">
        <v>1002</v>
      </c>
      <c r="F4" s="1">
        <v>39</v>
      </c>
      <c r="G4" s="1">
        <v>0</v>
      </c>
      <c r="H4" s="1">
        <v>64</v>
      </c>
    </row>
    <row r="5" spans="1:8">
      <c r="A5" s="1" t="s">
        <v>6</v>
      </c>
      <c r="B5" s="2">
        <v>7.589105129241943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7.411298751831055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5.86761474609375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5.366523742675781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4.978582382202148</v>
      </c>
      <c r="C9" s="1">
        <v>616</v>
      </c>
      <c r="D9" s="1">
        <v>0</v>
      </c>
      <c r="E9" s="1">
        <v>616</v>
      </c>
      <c r="F9" s="1">
        <v>0</v>
      </c>
      <c r="G9" s="1">
        <v>0</v>
      </c>
      <c r="H9" s="1">
        <v>0</v>
      </c>
    </row>
    <row r="10" spans="1:8">
      <c r="A10" s="1" t="s">
        <v>13</v>
      </c>
      <c r="B10" s="2">
        <v>4.509819984436035</v>
      </c>
      <c r="C10" s="1">
        <v>558</v>
      </c>
      <c r="D10" s="1">
        <v>0</v>
      </c>
      <c r="E10" s="1">
        <v>558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4.380506038665772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7</v>
      </c>
      <c r="B12" s="2">
        <v>4.332013130187988</v>
      </c>
      <c r="C12" s="1">
        <v>536</v>
      </c>
      <c r="D12" s="1">
        <v>12</v>
      </c>
      <c r="E12" s="1">
        <v>536</v>
      </c>
      <c r="F12" s="1">
        <v>0</v>
      </c>
      <c r="G12" s="1">
        <v>0</v>
      </c>
      <c r="H12" s="1">
        <v>12</v>
      </c>
    </row>
    <row r="13" spans="1:8">
      <c r="A13" s="1" t="s">
        <v>14</v>
      </c>
      <c r="B13" s="2">
        <v>3.814757823944092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3</v>
      </c>
      <c r="B14" s="2">
        <v>3.459144830703735</v>
      </c>
      <c r="C14" s="1">
        <v>428</v>
      </c>
      <c r="D14" s="1">
        <v>1024</v>
      </c>
      <c r="E14" s="1">
        <v>36</v>
      </c>
      <c r="F14" s="1">
        <v>392</v>
      </c>
      <c r="G14" s="1">
        <v>0</v>
      </c>
      <c r="H14" s="1">
        <v>1024</v>
      </c>
    </row>
    <row r="15" spans="1:8">
      <c r="A15" s="1" t="s">
        <v>15</v>
      </c>
      <c r="B15" s="2">
        <v>2.92572546005249</v>
      </c>
      <c r="C15" s="1">
        <v>362</v>
      </c>
      <c r="D15" s="1">
        <v>0</v>
      </c>
      <c r="E15" s="1">
        <v>362</v>
      </c>
      <c r="F15" s="1">
        <v>0</v>
      </c>
      <c r="G15" s="1">
        <v>0</v>
      </c>
      <c r="H15" s="1">
        <v>0</v>
      </c>
    </row>
    <row r="16" spans="1:8">
      <c r="A16" s="1" t="s">
        <v>11</v>
      </c>
      <c r="B16" s="2">
        <v>2.796411514282227</v>
      </c>
      <c r="C16" s="1">
        <v>346</v>
      </c>
      <c r="D16" s="1">
        <v>4</v>
      </c>
      <c r="E16" s="1">
        <v>342</v>
      </c>
      <c r="F16" s="1">
        <v>0</v>
      </c>
      <c r="G16" s="1">
        <v>4</v>
      </c>
      <c r="H16" s="1">
        <v>0</v>
      </c>
    </row>
    <row r="17" spans="1:8">
      <c r="A17" s="1" t="s">
        <v>16</v>
      </c>
      <c r="B17" s="2">
        <v>2.60244083404541</v>
      </c>
      <c r="C17" s="1">
        <v>322</v>
      </c>
      <c r="D17" s="1">
        <v>0</v>
      </c>
      <c r="E17" s="1">
        <v>314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2.214499235153198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1.487109065055847</v>
      </c>
      <c r="C19" s="1">
        <v>184</v>
      </c>
      <c r="D19" s="1">
        <v>0</v>
      </c>
      <c r="E19" s="1">
        <v>184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1.212317109107971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0.7758829593658447</v>
      </c>
      <c r="C21" s="1">
        <v>96</v>
      </c>
      <c r="D21" s="1">
        <v>0</v>
      </c>
      <c r="E21" s="1">
        <v>96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0.3879414796829224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0.3556130230426788</v>
      </c>
      <c r="C23" s="1">
        <v>44</v>
      </c>
      <c r="D23" s="1">
        <v>0</v>
      </c>
      <c r="E23" s="1">
        <v>44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0.2909561097621918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0.2909561097621918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0.2909561097621918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0.2424634248018265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0.09698536992073059</v>
      </c>
      <c r="C28" s="1">
        <v>12</v>
      </c>
      <c r="D28" s="1">
        <v>0</v>
      </c>
      <c r="E28" s="1">
        <v>12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0.06465691328048706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0.06465691328048706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10</v>
      </c>
      <c r="B31" s="2">
        <v>0.03232845664024353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0.03232845664024353</v>
      </c>
      <c r="C32" s="1">
        <v>4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0.01616422832012177</v>
      </c>
      <c r="C33" s="1">
        <v>2</v>
      </c>
      <c r="D33" s="1">
        <v>0</v>
      </c>
      <c r="E33" s="1">
        <v>2</v>
      </c>
      <c r="F33" s="1">
        <v>0</v>
      </c>
      <c r="G33" s="1">
        <v>0</v>
      </c>
      <c r="H33" s="1">
        <v>0</v>
      </c>
    </row>
    <row r="34" spans="1:8">
      <c r="A34" t="s">
        <v>33</v>
      </c>
      <c r="B34">
        <f>SUBTOTAL(109,[flash_percent])</f>
        <v>0</v>
      </c>
      <c r="C34">
        <f>SUBTOTAL(109,[flash])</f>
        <v>0</v>
      </c>
      <c r="D34">
        <f>SUBTOTAL(109,[ram])</f>
        <v>0</v>
      </c>
      <c r="E34">
        <f>SUBTOTAL(109,[Code])</f>
        <v>0</v>
      </c>
      <c r="F34">
        <f>SUBTOTAL(109,[RO_data])</f>
        <v>0</v>
      </c>
      <c r="G34">
        <f>SUBTOTAL(109,[RW_data])</f>
        <v>0</v>
      </c>
      <c r="H3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2024-10-21T01:55:23Z</dcterms:created>
  <dcterms:modified xsi:type="dcterms:W3CDTF">2024-10-21T01:55:23Z</dcterms:modified>
</cp:coreProperties>
</file>